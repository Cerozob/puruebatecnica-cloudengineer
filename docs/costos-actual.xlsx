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Estim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#"/>
    <numFmt numFmtId="165" formatCode="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14" customWidth="1" min="3" max="3"/>
    <col width="14" customWidth="1" min="4" max="4"/>
    <col width="12" customWidth="1" min="5" max="5"/>
    <col width="60" customWidth="1" min="6" max="6"/>
  </cols>
  <sheetData>
    <row r="1">
      <c r="A1" s="1" t="inlineStr">
        <is>
          <t>Clave</t>
        </is>
      </c>
      <c r="B1" s="1" t="inlineStr">
        <is>
          <t>Descripción</t>
        </is>
      </c>
      <c r="C1" s="1" t="inlineStr">
        <is>
          <t>Valor</t>
        </is>
      </c>
      <c r="D1" s="1" t="inlineStr">
        <is>
          <t>Unidad</t>
        </is>
      </c>
      <c r="E1" s="1" t="inlineStr">
        <is>
          <t>Placeholder</t>
        </is>
      </c>
      <c r="F1" s="1" t="inlineStr">
        <is>
          <t>Fuente / nota</t>
        </is>
      </c>
    </row>
    <row r="2">
      <c r="A2" s="1" t="inlineStr">
        <is>
          <t>General</t>
        </is>
      </c>
    </row>
    <row r="3">
      <c r="A3" t="inlineStr">
        <is>
          <t>horas</t>
        </is>
      </c>
      <c r="B3" t="inlineStr">
        <is>
          <t>Horas por mes</t>
        </is>
      </c>
      <c r="C3" s="2" t="n">
        <v>730</v>
      </c>
      <c r="D3" t="inlineStr">
        <is>
          <t>h</t>
        </is>
      </c>
      <c r="E3" t="inlineStr">
        <is>
          <t>no</t>
        </is>
      </c>
      <c r="F3" t="inlineStr">
        <is>
          <t>Convención de AWS</t>
        </is>
      </c>
    </row>
    <row r="4">
      <c r="A4" t="inlineStr">
        <is>
          <t>region</t>
        </is>
      </c>
      <c r="B4" t="inlineStr">
        <is>
          <t>Región</t>
        </is>
      </c>
      <c r="C4" t="inlineStr">
        <is>
          <t>us-east-1</t>
        </is>
      </c>
      <c r="D4" t="inlineStr"/>
      <c r="E4" t="inlineStr">
        <is>
          <t>no</t>
        </is>
      </c>
      <c r="F4" t="inlineStr">
        <is>
          <t>S-01</t>
        </is>
      </c>
    </row>
    <row r="5">
      <c r="A5" t="inlineStr">
        <is>
          <t>meses_pico</t>
        </is>
      </c>
      <c r="B5" t="inlineStr">
        <is>
          <t>Meses de pico al año (una semana, cuatro veces al año)</t>
        </is>
      </c>
      <c r="C5" s="2" t="n">
        <v>1</v>
      </c>
      <c r="D5" t="inlineStr">
        <is>
          <t>meses</t>
        </is>
      </c>
      <c r="E5" t="inlineStr">
        <is>
          <t>no</t>
        </is>
      </c>
      <c r="F5" t="inlineStr">
        <is>
          <t>Igual al objetivo (costos.xlsx)</t>
        </is>
      </c>
    </row>
    <row r="6">
      <c r="A6" t="inlineStr">
        <is>
          <t>mult_pico</t>
        </is>
      </c>
      <c r="B6" t="inlineStr">
        <is>
          <t>Multiplicador de carga en pico</t>
        </is>
      </c>
      <c r="C6" s="2" t="n">
        <v>3</v>
      </c>
      <c r="D6" t="inlineStr">
        <is>
          <t>x</t>
        </is>
      </c>
      <c r="E6" t="inlineStr">
        <is>
          <t>no</t>
        </is>
      </c>
      <c r="F6" t="inlineStr">
        <is>
          <t>Igual al objetivo (costos.xlsx)</t>
        </is>
      </c>
    </row>
    <row r="7">
      <c r="A7" t="inlineStr">
        <is>
          <t>factor</t>
        </is>
      </c>
      <c r="B7" t="inlineStr">
        <is>
          <t>Factor de carga mensual promedio = (12 - meses de pico + meses de pico x multiplicador) / 12</t>
        </is>
      </c>
      <c r="C7" s="2">
        <f>(12-Supuestos!$C$5+Supuestos!$C$5*Supuestos!$C$6)/12</f>
        <v/>
      </c>
      <c r="D7" t="inlineStr">
        <is>
          <t>x</t>
        </is>
      </c>
      <c r="E7" t="inlineStr">
        <is>
          <t>no</t>
        </is>
      </c>
      <c r="F7" t="inlineStr">
        <is>
          <t>Igual al objetivo (costos.xlsx)</t>
        </is>
      </c>
    </row>
    <row r="8">
      <c r="A8" t="inlineStr">
        <is>
          <t>req_min</t>
        </is>
      </c>
      <c r="B8" t="inlineStr">
        <is>
          <t>Solicitudes por minuto (promedio fuera de pico)</t>
        </is>
      </c>
      <c r="C8" s="2" t="n">
        <v>10000</v>
      </c>
      <c r="D8" t="inlineStr">
        <is>
          <t>req/min</t>
        </is>
      </c>
      <c r="E8" t="inlineStr">
        <is>
          <t>no</t>
        </is>
      </c>
      <c r="F8" t="inlineStr">
        <is>
          <t>Igual al objetivo (costos.xlsx)</t>
        </is>
      </c>
    </row>
    <row r="9">
      <c r="A9" t="inlineStr">
        <is>
          <t>req_mes</t>
        </is>
      </c>
      <c r="B9" t="inlineStr">
        <is>
          <t>Solicitudes por mes, con el factor de pico</t>
        </is>
      </c>
      <c r="C9" s="2">
        <f>Supuestos!$C$8*60*Supuestos!$C$3*Supuestos!$C$7</f>
        <v/>
      </c>
      <c r="D9" t="inlineStr">
        <is>
          <t>solicitudes</t>
        </is>
      </c>
      <c r="E9" t="inlineStr">
        <is>
          <t>no</t>
        </is>
      </c>
      <c r="F9" t="inlineStr">
        <is>
          <t>Calculado</t>
        </is>
      </c>
    </row>
    <row r="10">
      <c r="A10" s="1" t="inlineStr">
        <is>
          <t>Cómputo (ECS en Fargate x86, sin Graviton ni rightsizing)</t>
        </is>
      </c>
    </row>
    <row r="11">
      <c r="A11" t="inlineStr">
        <is>
          <t>servicios</t>
        </is>
      </c>
      <c r="B11" t="inlineStr">
        <is>
          <t>Servicios de ECS (una tarea equivalente por servicio)</t>
        </is>
      </c>
      <c r="C11" s="2" t="n">
        <v>100</v>
      </c>
      <c r="D11" t="inlineStr">
        <is>
          <t>servicios</t>
        </is>
      </c>
      <c r="E11" t="inlineStr">
        <is>
          <t>no</t>
        </is>
      </c>
      <c r="F11" t="inlineStr">
        <is>
          <t>Igual al objetivo (costos.xlsx)</t>
        </is>
      </c>
    </row>
    <row r="12">
      <c r="A12" t="inlineStr">
        <is>
          <t>vcpu</t>
        </is>
      </c>
      <c r="B12" t="inlineStr">
        <is>
          <t>vCPU promedio por servicio</t>
        </is>
      </c>
      <c r="C12" s="2" t="n">
        <v>2</v>
      </c>
      <c r="D12" t="inlineStr">
        <is>
          <t>vCPU</t>
        </is>
      </c>
      <c r="E12" t="inlineStr">
        <is>
          <t>no</t>
        </is>
      </c>
      <c r="F12" t="inlineStr">
        <is>
          <t>Igual al objetivo (costos.xlsx)</t>
        </is>
      </c>
    </row>
    <row r="13">
      <c r="A13" t="inlineStr">
        <is>
          <t>gb</t>
        </is>
      </c>
      <c r="B13" t="inlineStr">
        <is>
          <t>Memoria promedio por servicio</t>
        </is>
      </c>
      <c r="C13" s="2" t="n">
        <v>4</v>
      </c>
      <c r="D13" t="inlineStr">
        <is>
          <t>GB</t>
        </is>
      </c>
      <c r="E13" t="inlineStr">
        <is>
          <t>no</t>
        </is>
      </c>
      <c r="F13" t="inlineStr">
        <is>
          <t>Igual al objetivo (costos.xlsx)</t>
        </is>
      </c>
    </row>
    <row r="14">
      <c r="A14" t="inlineStr">
        <is>
          <t>p_fg_vcpu</t>
        </is>
      </c>
      <c r="B14" t="inlineStr">
        <is>
          <t>Fargate Linux x86: precio por vCPU-hora</t>
        </is>
      </c>
      <c r="C14" s="3" t="n">
        <v>0.04048</v>
      </c>
      <c r="D14" t="inlineStr">
        <is>
          <t>USD</t>
        </is>
      </c>
      <c r="E14" t="inlineStr">
        <is>
          <t>sí</t>
        </is>
      </c>
      <c r="F14" t="inlineStr">
        <is>
          <t>Verificar en calculadora</t>
        </is>
      </c>
    </row>
    <row r="15">
      <c r="A15" t="inlineStr">
        <is>
          <t>p_fg_gb</t>
        </is>
      </c>
      <c r="B15" t="inlineStr">
        <is>
          <t>Fargate Linux x86: precio por GB-hora</t>
        </is>
      </c>
      <c r="C15" s="3" t="n">
        <v>0.004445</v>
      </c>
      <c r="D15" t="inlineStr">
        <is>
          <t>USD</t>
        </is>
      </c>
      <c r="E15" t="inlineStr">
        <is>
          <t>sí</t>
        </is>
      </c>
      <c r="F15" t="inlineStr">
        <is>
          <t>Verificar en calculadora</t>
        </is>
      </c>
    </row>
    <row r="16">
      <c r="A16" s="1" t="inlineStr">
        <is>
          <t>Red</t>
        </is>
      </c>
    </row>
    <row r="17">
      <c r="A17" t="inlineStr">
        <is>
          <t>alb_n</t>
        </is>
      </c>
      <c r="B17" t="inlineStr">
        <is>
          <t>ALB (uno por servicio)</t>
        </is>
      </c>
      <c r="C17" s="2" t="n">
        <v>100</v>
      </c>
      <c r="D17" t="inlineStr">
        <is>
          <t>ALB</t>
        </is>
      </c>
      <c r="E17" t="inlineStr">
        <is>
          <t>no</t>
        </is>
      </c>
      <c r="F17" t="inlineStr">
        <is>
          <t>Igual al objetivo (costos.xlsx)</t>
        </is>
      </c>
    </row>
    <row r="18">
      <c r="A18" t="inlineStr">
        <is>
          <t>p_alb_h</t>
        </is>
      </c>
      <c r="B18" t="inlineStr">
        <is>
          <t>ALB: precio por hora</t>
        </is>
      </c>
      <c r="C18" s="3" t="n">
        <v>0.0225</v>
      </c>
      <c r="D18" t="inlineStr">
        <is>
          <t>USD</t>
        </is>
      </c>
      <c r="E18" t="inlineStr">
        <is>
          <t>sí</t>
        </is>
      </c>
      <c r="F18" t="inlineStr">
        <is>
          <t>Verificar en calculadora</t>
        </is>
      </c>
    </row>
    <row r="19">
      <c r="A19" t="inlineStr">
        <is>
          <t>lcu</t>
        </is>
      </c>
      <c r="B19" t="inlineStr">
        <is>
          <t>LCU promedio total entre todos los ALB</t>
        </is>
      </c>
      <c r="C19" s="2" t="n">
        <v>50</v>
      </c>
      <c r="D19" t="inlineStr">
        <is>
          <t>LCU</t>
        </is>
      </c>
      <c r="E19" t="inlineStr">
        <is>
          <t>sí</t>
        </is>
      </c>
      <c r="F19" t="inlineStr">
        <is>
          <t>Igual al objetivo (costos.xlsx)</t>
        </is>
      </c>
    </row>
    <row r="20">
      <c r="A20" t="inlineStr">
        <is>
          <t>p_alb_lcu</t>
        </is>
      </c>
      <c r="B20" t="inlineStr">
        <is>
          <t>ALB: precio por LCU-hora</t>
        </is>
      </c>
      <c r="C20" s="3" t="n">
        <v>0.008</v>
      </c>
      <c r="D20" t="inlineStr">
        <is>
          <t>USD</t>
        </is>
      </c>
      <c r="E20" t="inlineStr">
        <is>
          <t>sí</t>
        </is>
      </c>
      <c r="F20" t="inlineStr">
        <is>
          <t>Verificar en calculadora</t>
        </is>
      </c>
    </row>
    <row r="21">
      <c r="A21" t="inlineStr">
        <is>
          <t>waf_reglas</t>
        </is>
      </c>
      <c r="B21" t="inlineStr">
        <is>
          <t>WAF: reglas</t>
        </is>
      </c>
      <c r="C21" s="2" t="n">
        <v>15</v>
      </c>
      <c r="D21" t="inlineStr">
        <is>
          <t>reglas</t>
        </is>
      </c>
      <c r="E21" t="inlineStr">
        <is>
          <t>sí</t>
        </is>
      </c>
      <c r="F21" t="inlineStr">
        <is>
          <t>Igual al objetivo (costos.xlsx)</t>
        </is>
      </c>
    </row>
    <row r="22">
      <c r="A22" t="inlineStr">
        <is>
          <t>p_waf_acl</t>
        </is>
      </c>
      <c r="B22" t="inlineStr">
        <is>
          <t>WAF: precio por web ACL al mes</t>
        </is>
      </c>
      <c r="C22" s="3" t="n">
        <v>5</v>
      </c>
      <c r="D22" t="inlineStr">
        <is>
          <t>USD</t>
        </is>
      </c>
      <c r="E22" t="inlineStr">
        <is>
          <t>sí</t>
        </is>
      </c>
      <c r="F22" t="inlineStr">
        <is>
          <t>Verificar en calculadora</t>
        </is>
      </c>
    </row>
    <row r="23">
      <c r="A23" t="inlineStr">
        <is>
          <t>p_waf_regla</t>
        </is>
      </c>
      <c r="B23" t="inlineStr">
        <is>
          <t>WAF: precio por regla al mes</t>
        </is>
      </c>
      <c r="C23" s="3" t="n">
        <v>1</v>
      </c>
      <c r="D23" t="inlineStr">
        <is>
          <t>USD</t>
        </is>
      </c>
      <c r="E23" t="inlineStr">
        <is>
          <t>sí</t>
        </is>
      </c>
      <c r="F23" t="inlineStr">
        <is>
          <t>Verificar en calculadora</t>
        </is>
      </c>
    </row>
    <row r="24">
      <c r="A24" t="inlineStr">
        <is>
          <t>p_waf_req</t>
        </is>
      </c>
      <c r="B24" t="inlineStr">
        <is>
          <t>WAF: precio por millón de solicitudes</t>
        </is>
      </c>
      <c r="C24" s="3" t="n">
        <v>0.6</v>
      </c>
      <c r="D24" t="inlineStr">
        <is>
          <t>USD</t>
        </is>
      </c>
      <c r="E24" t="inlineStr">
        <is>
          <t>sí</t>
        </is>
      </c>
      <c r="F24" t="inlineStr">
        <is>
          <t>Verificar en calculadora</t>
        </is>
      </c>
    </row>
    <row r="25">
      <c r="A25" t="inlineStr">
        <is>
          <t>nat_n</t>
        </is>
      </c>
      <c r="B25" t="inlineStr">
        <is>
          <t>NAT gateways</t>
        </is>
      </c>
      <c r="C25" s="2" t="n">
        <v>3</v>
      </c>
      <c r="D25" t="inlineStr">
        <is>
          <t>NAT</t>
        </is>
      </c>
      <c r="E25" t="inlineStr">
        <is>
          <t>sí</t>
        </is>
      </c>
      <c r="F25" t="inlineStr">
        <is>
          <t>Igual al objetivo (costos.xlsx)</t>
        </is>
      </c>
    </row>
    <row r="26">
      <c r="A26" t="inlineStr">
        <is>
          <t>p_nat_h</t>
        </is>
      </c>
      <c r="B26" t="inlineStr">
        <is>
          <t>NAT: precio por hora</t>
        </is>
      </c>
      <c r="C26" s="3" t="n">
        <v>0.045</v>
      </c>
      <c r="D26" t="inlineStr">
        <is>
          <t>USD</t>
        </is>
      </c>
      <c r="E26" t="inlineStr">
        <is>
          <t>sí</t>
        </is>
      </c>
      <c r="F26" t="inlineStr">
        <is>
          <t>Verificar en calculadora</t>
        </is>
      </c>
    </row>
    <row r="27">
      <c r="A27" t="inlineStr">
        <is>
          <t>nat_gb</t>
        </is>
      </c>
      <c r="B27" t="inlineStr">
        <is>
          <t>NAT: GB procesados por mes fuera de pico</t>
        </is>
      </c>
      <c r="C27" s="2" t="n">
        <v>3000</v>
      </c>
      <c r="D27" t="inlineStr">
        <is>
          <t>GB</t>
        </is>
      </c>
      <c r="E27" t="inlineStr">
        <is>
          <t>sí</t>
        </is>
      </c>
      <c r="F27" t="inlineStr">
        <is>
          <t>Igual al objetivo (costos.xlsx)</t>
        </is>
      </c>
    </row>
    <row r="28">
      <c r="A28" t="inlineStr">
        <is>
          <t>p_nat_gb</t>
        </is>
      </c>
      <c r="B28" t="inlineStr">
        <is>
          <t>NAT: precio por GB</t>
        </is>
      </c>
      <c r="C28" s="3" t="n">
        <v>0.045</v>
      </c>
      <c r="D28" t="inlineStr">
        <is>
          <t>USD</t>
        </is>
      </c>
      <c r="E28" t="inlineStr">
        <is>
          <t>sí</t>
        </is>
      </c>
      <c r="F28" t="inlineStr">
        <is>
          <t>Verificar en calculadora</t>
        </is>
      </c>
    </row>
    <row r="29">
      <c r="A29" t="inlineStr">
        <is>
          <t>vpn_n</t>
        </is>
      </c>
      <c r="B29" t="inlineStr">
        <is>
          <t>VPN de terceros: instancias del appliance</t>
        </is>
      </c>
      <c r="C29" s="2" t="n">
        <v>1</v>
      </c>
      <c r="D29" t="inlineStr">
        <is>
          <t>instancias</t>
        </is>
      </c>
      <c r="E29" t="inlineStr">
        <is>
          <t>sí</t>
        </is>
      </c>
      <c r="F29" t="inlineStr">
        <is>
          <t>2? Producto y costo desconocidos</t>
        </is>
      </c>
    </row>
    <row r="30">
      <c r="A30" t="inlineStr">
        <is>
          <t>p_vpn</t>
        </is>
      </c>
      <c r="B30" t="inlineStr">
        <is>
          <t>VPN: precio por hora de la instancia, sin licencia (ej. c6i.large)</t>
        </is>
      </c>
      <c r="C30" s="3" t="n">
        <v>0.08500000000000001</v>
      </c>
      <c r="D30" t="inlineStr">
        <is>
          <t>USD</t>
        </is>
      </c>
      <c r="E30" t="inlineStr">
        <is>
          <t>sí</t>
        </is>
      </c>
      <c r="F30" t="inlineStr">
        <is>
          <t>Verificar en calculadora</t>
        </is>
      </c>
    </row>
    <row r="31">
      <c r="A31" s="1" t="inlineStr">
        <is>
          <t>Datos</t>
        </is>
      </c>
    </row>
    <row r="32">
      <c r="A32" t="inlineStr">
        <is>
          <t>rds_n</t>
        </is>
      </c>
      <c r="B32" t="inlineStr">
        <is>
          <t>RDS PostgreSQL: instancias grandes en una zona</t>
        </is>
      </c>
      <c r="C32" s="2" t="n">
        <v>30</v>
      </c>
      <c r="D32" t="inlineStr">
        <is>
          <t>instancias</t>
        </is>
      </c>
      <c r="E32" t="inlineStr">
        <is>
          <t>no</t>
        </is>
      </c>
      <c r="F32" t="inlineStr">
        <is>
          <t>Igual al objetivo (costos.xlsx)</t>
        </is>
      </c>
    </row>
    <row r="33">
      <c r="A33" t="inlineStr">
        <is>
          <t>p_rds</t>
        </is>
      </c>
      <c r="B33" t="inlineStr">
        <is>
          <t>RDS PostgreSQL db.r6i.xlarge Single-AZ: precio por hora</t>
        </is>
      </c>
      <c r="C33" s="3" t="n">
        <v>0.5</v>
      </c>
      <c r="D33" t="inlineStr">
        <is>
          <t>USD</t>
        </is>
      </c>
      <c r="E33" t="inlineStr">
        <is>
          <t>sí</t>
        </is>
      </c>
      <c r="F33" t="inlineStr">
        <is>
          <t>Verificar en calculadora</t>
        </is>
      </c>
    </row>
    <row r="34">
      <c r="A34" t="inlineStr">
        <is>
          <t>rds_gb</t>
        </is>
      </c>
      <c r="B34" t="inlineStr">
        <is>
          <t>RDS: almacenamiento total</t>
        </is>
      </c>
      <c r="C34" s="2" t="n">
        <v>6000</v>
      </c>
      <c r="D34" t="inlineStr">
        <is>
          <t>GB</t>
        </is>
      </c>
      <c r="E34" t="inlineStr">
        <is>
          <t>sí</t>
        </is>
      </c>
      <c r="F34" t="inlineStr">
        <is>
          <t>Igual al objetivo (costos.xlsx)</t>
        </is>
      </c>
    </row>
    <row r="35">
      <c r="A35" t="inlineStr">
        <is>
          <t>p_rds_gb</t>
        </is>
      </c>
      <c r="B35" t="inlineStr">
        <is>
          <t>RDS gp2 Single-AZ: precio por GB-mes</t>
        </is>
      </c>
      <c r="C35" s="3" t="n">
        <v>0.115</v>
      </c>
      <c r="D35" t="inlineStr">
        <is>
          <t>USD</t>
        </is>
      </c>
      <c r="E35" t="inlineStr">
        <is>
          <t>sí</t>
        </is>
      </c>
      <c r="F35" t="inlineStr">
        <is>
          <t>Verificar en calculadora</t>
        </is>
      </c>
    </row>
    <row r="36">
      <c r="A36" t="inlineStr">
        <is>
          <t>os_data_n</t>
        </is>
      </c>
      <c r="B36" t="inlineStr">
        <is>
          <t>OpenSearch: nodos de datos</t>
        </is>
      </c>
      <c r="C36" s="2" t="n">
        <v>3</v>
      </c>
      <c r="D36" t="inlineStr">
        <is>
          <t>nodos</t>
        </is>
      </c>
      <c r="E36" t="inlineStr">
        <is>
          <t>sí</t>
        </is>
      </c>
      <c r="F36" t="inlineStr">
        <is>
          <t>6? Configuración desconocida</t>
        </is>
      </c>
    </row>
    <row r="37">
      <c r="A37" t="inlineStr">
        <is>
          <t>p_os_data</t>
        </is>
      </c>
      <c r="B37" t="inlineStr">
        <is>
          <t>OpenSearch: precio por hora del nodo de datos (r6g.large.search)</t>
        </is>
      </c>
      <c r="C37" s="3" t="n">
        <v>0.167</v>
      </c>
      <c r="D37" t="inlineStr">
        <is>
          <t>USD</t>
        </is>
      </c>
      <c r="E37" t="inlineStr">
        <is>
          <t>sí</t>
        </is>
      </c>
      <c r="F37" t="inlineStr">
        <is>
          <t>Verificar en calculadora</t>
        </is>
      </c>
    </row>
    <row r="38">
      <c r="A38" t="inlineStr">
        <is>
          <t>os_master_n</t>
        </is>
      </c>
      <c r="B38" t="inlineStr">
        <is>
          <t>OpenSearch: nodos maestros dedicados</t>
        </is>
      </c>
      <c r="C38" s="2" t="n">
        <v>3</v>
      </c>
      <c r="D38" t="inlineStr">
        <is>
          <t>nodos</t>
        </is>
      </c>
      <c r="E38" t="inlineStr">
        <is>
          <t>sí</t>
        </is>
      </c>
      <c r="F38" t="inlineStr">
        <is>
          <t>6?</t>
        </is>
      </c>
    </row>
    <row r="39">
      <c r="A39" t="inlineStr">
        <is>
          <t>p_os_master</t>
        </is>
      </c>
      <c r="B39" t="inlineStr">
        <is>
          <t>OpenSearch: precio por hora del nodo maestro (m6g.large.search)</t>
        </is>
      </c>
      <c r="C39" s="3" t="n">
        <v>0.128</v>
      </c>
      <c r="D39" t="inlineStr">
        <is>
          <t>USD</t>
        </is>
      </c>
      <c r="E39" t="inlineStr">
        <is>
          <t>sí</t>
        </is>
      </c>
      <c r="F39" t="inlineStr">
        <is>
          <t>Verificar en calculadora</t>
        </is>
      </c>
    </row>
    <row r="40">
      <c r="A40" t="inlineStr">
        <is>
          <t>os_gb</t>
        </is>
      </c>
      <c r="B40" t="inlineStr">
        <is>
          <t>OpenSearch: almacenamiento EBS total</t>
        </is>
      </c>
      <c r="C40" s="2" t="n">
        <v>100</v>
      </c>
      <c r="D40" t="inlineStr">
        <is>
          <t>GB</t>
        </is>
      </c>
      <c r="E40" t="inlineStr">
        <is>
          <t>no</t>
        </is>
      </c>
      <c r="F40" t="inlineStr">
        <is>
          <t>S-05</t>
        </is>
      </c>
    </row>
    <row r="41">
      <c r="A41" t="inlineStr">
        <is>
          <t>p_os_gb</t>
        </is>
      </c>
      <c r="B41" t="inlineStr">
        <is>
          <t>OpenSearch: precio por GB-mes de EBS gp3</t>
        </is>
      </c>
      <c r="C41" s="3" t="n">
        <v>0.122</v>
      </c>
      <c r="D41" t="inlineStr">
        <is>
          <t>USD</t>
        </is>
      </c>
      <c r="E41" t="inlineStr">
        <is>
          <t>sí</t>
        </is>
      </c>
      <c r="F41" t="inlineStr">
        <is>
          <t>Verificar en calculadora</t>
        </is>
      </c>
    </row>
    <row r="42">
      <c r="A42" s="1" t="inlineStr">
        <is>
          <t>Llaves y secretos</t>
        </is>
      </c>
    </row>
    <row r="43">
      <c r="A43" t="inlineStr">
        <is>
          <t>firmas</t>
        </is>
      </c>
      <c r="B43" t="inlineStr">
        <is>
          <t>Firmas por mes</t>
        </is>
      </c>
      <c r="C43" s="2" t="n">
        <v>10000000</v>
      </c>
      <c r="D43" t="inlineStr">
        <is>
          <t>firmas</t>
        </is>
      </c>
      <c r="E43" t="inlineStr">
        <is>
          <t>no</t>
        </is>
      </c>
      <c r="F43" t="inlineStr">
        <is>
          <t>Igual al objetivo (costos.xlsx)</t>
        </is>
      </c>
    </row>
    <row r="44">
      <c r="A44" t="inlineStr">
        <is>
          <t>kms_llaves</t>
        </is>
      </c>
      <c r="B44" t="inlineStr">
        <is>
          <t>Llaves de KMS de uso general (las llaves de wallets están en RDS)</t>
        </is>
      </c>
      <c r="C44" s="2" t="n">
        <v>10</v>
      </c>
      <c r="D44" t="inlineStr">
        <is>
          <t>llaves</t>
        </is>
      </c>
      <c r="E44" t="inlineStr">
        <is>
          <t>sí</t>
        </is>
      </c>
      <c r="F44" t="inlineStr">
        <is>
          <t>10?</t>
        </is>
      </c>
    </row>
    <row r="45">
      <c r="A45" t="inlineStr">
        <is>
          <t>p_kms_llave</t>
        </is>
      </c>
      <c r="B45" t="inlineStr">
        <is>
          <t>KMS: precio por llave al mes</t>
        </is>
      </c>
      <c r="C45" s="3" t="n">
        <v>1</v>
      </c>
      <c r="D45" t="inlineStr">
        <is>
          <t>USD</t>
        </is>
      </c>
      <c r="E45" t="inlineStr">
        <is>
          <t>sí</t>
        </is>
      </c>
      <c r="F45" t="inlineStr">
        <is>
          <t>Verificar en calculadora</t>
        </is>
      </c>
    </row>
    <row r="46">
      <c r="A46" t="inlineStr">
        <is>
          <t>kms_req</t>
        </is>
      </c>
      <c r="B46" t="inlineStr">
        <is>
          <t>KMS: solicitudes por mes</t>
        </is>
      </c>
      <c r="C46" s="2">
        <f>Supuestos!$C$43*2</f>
        <v/>
      </c>
      <c r="D46" t="inlineStr">
        <is>
          <t>solicitudes</t>
        </is>
      </c>
      <c r="E46" t="inlineStr">
        <is>
          <t>no</t>
        </is>
      </c>
      <c r="F46" t="inlineStr">
        <is>
          <t>Igual al objetivo (costos.xlsx)</t>
        </is>
      </c>
    </row>
    <row r="47">
      <c r="A47" t="inlineStr">
        <is>
          <t>p_kms_req</t>
        </is>
      </c>
      <c r="B47" t="inlineStr">
        <is>
          <t>KMS: precio por 10 mil solicitudes (sin capa gratuita)</t>
        </is>
      </c>
      <c r="C47" s="3" t="n">
        <v>0.03</v>
      </c>
      <c r="D47" t="inlineStr">
        <is>
          <t>USD</t>
        </is>
      </c>
      <c r="E47" t="inlineStr">
        <is>
          <t>sí</t>
        </is>
      </c>
      <c r="F47" t="inlineStr">
        <is>
          <t>Verificar en calculadora</t>
        </is>
      </c>
    </row>
    <row r="48">
      <c r="A48" t="inlineStr">
        <is>
          <t>secretos</t>
        </is>
      </c>
      <c r="B48" t="inlineStr">
        <is>
          <t>Secrets Manager: secretos</t>
        </is>
      </c>
      <c r="C48" s="2" t="n">
        <v>150</v>
      </c>
      <c r="D48" t="inlineStr">
        <is>
          <t>secretos</t>
        </is>
      </c>
      <c r="E48" t="inlineStr">
        <is>
          <t>sí</t>
        </is>
      </c>
      <c r="F48" t="inlineStr">
        <is>
          <t>Igual al objetivo (costos.xlsx)</t>
        </is>
      </c>
    </row>
    <row r="49">
      <c r="A49" t="inlineStr">
        <is>
          <t>p_secreto</t>
        </is>
      </c>
      <c r="B49" t="inlineStr">
        <is>
          <t>Secrets Manager: precio por secreto al mes</t>
        </is>
      </c>
      <c r="C49" s="3" t="n">
        <v>0.4</v>
      </c>
      <c r="D49" t="inlineStr">
        <is>
          <t>USD</t>
        </is>
      </c>
      <c r="E49" t="inlineStr">
        <is>
          <t>sí</t>
        </is>
      </c>
      <c r="F49" t="inlineStr">
        <is>
          <t>Verificar en calculadora</t>
        </is>
      </c>
    </row>
    <row r="50">
      <c r="A50" s="1" t="inlineStr">
        <is>
          <t>Observabilidad</t>
        </is>
      </c>
    </row>
    <row r="51">
      <c r="A51" t="inlineStr">
        <is>
          <t>logs_gb</t>
        </is>
      </c>
      <c r="B51" t="inlineStr">
        <is>
          <t>CloudWatch Logs: GB ingeridos por mes fuera de pico</t>
        </is>
      </c>
      <c r="C51" s="2" t="n">
        <v>1500</v>
      </c>
      <c r="D51" t="inlineStr">
        <is>
          <t>GB</t>
        </is>
      </c>
      <c r="E51" t="inlineStr">
        <is>
          <t>sí</t>
        </is>
      </c>
      <c r="F51" t="inlineStr">
        <is>
          <t>Igual al objetivo (costos.xlsx)</t>
        </is>
      </c>
    </row>
    <row r="52">
      <c r="A52" t="inlineStr">
        <is>
          <t>p_logs_in</t>
        </is>
      </c>
      <c r="B52" t="inlineStr">
        <is>
          <t>CloudWatch Logs: precio por GB ingerido</t>
        </is>
      </c>
      <c r="C52" s="3" t="n">
        <v>0.5</v>
      </c>
      <c r="D52" t="inlineStr">
        <is>
          <t>USD</t>
        </is>
      </c>
      <c r="E52" t="inlineStr">
        <is>
          <t>sí</t>
        </is>
      </c>
      <c r="F52" t="inlineStr">
        <is>
          <t>Verificar en calculadora</t>
        </is>
      </c>
    </row>
    <row r="53">
      <c r="A53" t="inlineStr">
        <is>
          <t>logs_meses</t>
        </is>
      </c>
      <c r="B53" t="inlineStr">
        <is>
          <t>Meses de logs acumulados sin retención</t>
        </is>
      </c>
      <c r="C53" s="2" t="n">
        <v>12</v>
      </c>
      <c r="D53" t="inlineStr">
        <is>
          <t>meses</t>
        </is>
      </c>
      <c r="E53" t="inlineStr">
        <is>
          <t>sí</t>
        </is>
      </c>
      <c r="F53" t="inlineStr">
        <is>
          <t>Sin retención definida</t>
        </is>
      </c>
    </row>
    <row r="54">
      <c r="A54" t="inlineStr">
        <is>
          <t>p_logs_st</t>
        </is>
      </c>
      <c r="B54" t="inlineStr">
        <is>
          <t>CloudWatch Logs: precio por GB-mes almacenado</t>
        </is>
      </c>
      <c r="C54" s="3" t="n">
        <v>0.03</v>
      </c>
      <c r="D54" t="inlineStr">
        <is>
          <t>USD</t>
        </is>
      </c>
      <c r="E54" t="inlineStr">
        <is>
          <t>sí</t>
        </is>
      </c>
      <c r="F54" t="inlineStr">
        <is>
          <t>Verificar en calculadora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0" customWidth="1" min="3" max="3"/>
    <col width="16" customWidth="1" min="4" max="4"/>
    <col width="14" customWidth="1" min="5" max="5"/>
    <col width="20" customWidth="1" min="6" max="6"/>
    <col width="20" customWidth="1" min="7" max="7"/>
    <col width="15" customWidth="1" min="8" max="8"/>
    <col width="10" customWidth="1" min="9" max="9"/>
  </cols>
  <sheetData>
    <row r="1">
      <c r="A1" s="1" t="inlineStr">
        <is>
          <t>Categoría</t>
        </is>
      </c>
      <c r="B1" s="1" t="inlineStr">
        <is>
          <t>Servicio</t>
        </is>
      </c>
      <c r="C1" s="1" t="inlineStr">
        <is>
          <t>Descripción</t>
        </is>
      </c>
      <c r="D1" s="1" t="inlineStr">
        <is>
          <t>Cantidad</t>
        </is>
      </c>
      <c r="E1" s="1" t="inlineStr">
        <is>
          <t>Unidad</t>
        </is>
      </c>
      <c r="F1" s="1" t="inlineStr">
        <is>
          <t>Precio unitario (USD)</t>
        </is>
      </c>
      <c r="G1" s="1" t="inlineStr">
        <is>
          <t>Costo mensual (USD)</t>
        </is>
      </c>
    </row>
    <row r="2">
      <c r="A2" t="inlineStr">
        <is>
          <t>Cómputo</t>
        </is>
      </c>
      <c r="B2" t="inlineStr">
        <is>
          <t>ECS Fargate (x86)</t>
        </is>
      </c>
      <c r="C2" t="inlineStr">
        <is>
          <t>vCPU-hora</t>
        </is>
      </c>
      <c r="D2" s="2">
        <f>Supuestos!$C$11*Supuestos!$C$12*Supuestos!$C$3*Supuestos!$C$7</f>
        <v/>
      </c>
      <c r="E2" t="inlineStr">
        <is>
          <t>vCPU-h</t>
        </is>
      </c>
      <c r="F2" s="3">
        <f>Supuestos!$C$14</f>
        <v/>
      </c>
      <c r="G2" s="4">
        <f>D2*F2</f>
        <v/>
      </c>
    </row>
    <row r="3">
      <c r="A3" t="inlineStr">
        <is>
          <t>Cómputo</t>
        </is>
      </c>
      <c r="B3" t="inlineStr">
        <is>
          <t>ECS Fargate (x86)</t>
        </is>
      </c>
      <c r="C3" t="inlineStr">
        <is>
          <t>GB-hora</t>
        </is>
      </c>
      <c r="D3" s="2">
        <f>Supuestos!$C$11*Supuestos!$C$13*Supuestos!$C$3*Supuestos!$C$7</f>
        <v/>
      </c>
      <c r="E3" t="inlineStr">
        <is>
          <t>GB-h</t>
        </is>
      </c>
      <c r="F3" s="3">
        <f>Supuestos!$C$15</f>
        <v/>
      </c>
      <c r="G3" s="4">
        <f>D3*F3</f>
        <v/>
      </c>
    </row>
    <row r="4">
      <c r="A4" t="inlineStr">
        <is>
          <t>Red</t>
        </is>
      </c>
      <c r="B4" t="inlineStr">
        <is>
          <t>ALB</t>
        </is>
      </c>
      <c r="C4" t="inlineStr">
        <is>
          <t>Horas</t>
        </is>
      </c>
      <c r="D4" s="2">
        <f>Supuestos!$C$17*Supuestos!$C$3</f>
        <v/>
      </c>
      <c r="E4" t="inlineStr">
        <is>
          <t>ALB-h</t>
        </is>
      </c>
      <c r="F4" s="3">
        <f>Supuestos!$C$18</f>
        <v/>
      </c>
      <c r="G4" s="4">
        <f>D4*F4</f>
        <v/>
      </c>
    </row>
    <row r="5">
      <c r="A5" t="inlineStr">
        <is>
          <t>Red</t>
        </is>
      </c>
      <c r="B5" t="inlineStr">
        <is>
          <t>ALB</t>
        </is>
      </c>
      <c r="C5" t="inlineStr">
        <is>
          <t>LCU</t>
        </is>
      </c>
      <c r="D5" s="2">
        <f>Supuestos!$C$19*Supuestos!$C$3*Supuestos!$C$7</f>
        <v/>
      </c>
      <c r="E5" t="inlineStr">
        <is>
          <t>LCU-h</t>
        </is>
      </c>
      <c r="F5" s="3">
        <f>Supuestos!$C$20</f>
        <v/>
      </c>
      <c r="G5" s="4">
        <f>D5*F5</f>
        <v/>
      </c>
    </row>
    <row r="6">
      <c r="A6" t="inlineStr">
        <is>
          <t>Red</t>
        </is>
      </c>
      <c r="B6" t="inlineStr">
        <is>
          <t>AWS WAF</t>
        </is>
      </c>
      <c r="C6" t="inlineStr">
        <is>
          <t>Web ACL y reglas</t>
        </is>
      </c>
      <c r="D6" s="2">
        <f>1</f>
        <v/>
      </c>
      <c r="E6" t="inlineStr">
        <is>
          <t>ACL</t>
        </is>
      </c>
      <c r="F6" s="3">
        <f>Supuestos!$C$22+Supuestos!$C$21*Supuestos!$C$23</f>
        <v/>
      </c>
      <c r="G6" s="4">
        <f>D6*F6</f>
        <v/>
      </c>
    </row>
    <row r="7">
      <c r="A7" t="inlineStr">
        <is>
          <t>Red</t>
        </is>
      </c>
      <c r="B7" t="inlineStr">
        <is>
          <t>AWS WAF</t>
        </is>
      </c>
      <c r="C7" t="inlineStr">
        <is>
          <t>Solicitudes</t>
        </is>
      </c>
      <c r="D7" s="2">
        <f>Supuestos!$C$9/1000000</f>
        <v/>
      </c>
      <c r="E7" t="inlineStr">
        <is>
          <t>millones</t>
        </is>
      </c>
      <c r="F7" s="3">
        <f>Supuestos!$C$24</f>
        <v/>
      </c>
      <c r="G7" s="4">
        <f>D7*F7</f>
        <v/>
      </c>
    </row>
    <row r="8">
      <c r="A8" t="inlineStr">
        <is>
          <t>Red</t>
        </is>
      </c>
      <c r="B8" t="inlineStr">
        <is>
          <t>NAT Gateway</t>
        </is>
      </c>
      <c r="C8" t="inlineStr">
        <is>
          <t>Horas</t>
        </is>
      </c>
      <c r="D8" s="2">
        <f>Supuestos!$C$25*Supuestos!$C$3</f>
        <v/>
      </c>
      <c r="E8" t="inlineStr">
        <is>
          <t>NAT-h</t>
        </is>
      </c>
      <c r="F8" s="3">
        <f>Supuestos!$C$26</f>
        <v/>
      </c>
      <c r="G8" s="4">
        <f>D8*F8</f>
        <v/>
      </c>
    </row>
    <row r="9">
      <c r="A9" t="inlineStr">
        <is>
          <t>Red</t>
        </is>
      </c>
      <c r="B9" t="inlineStr">
        <is>
          <t>NAT Gateway</t>
        </is>
      </c>
      <c r="C9" t="inlineStr">
        <is>
          <t>GB procesados</t>
        </is>
      </c>
      <c r="D9" s="2">
        <f>Supuestos!$C$27*Supuestos!$C$7</f>
        <v/>
      </c>
      <c r="E9" t="inlineStr">
        <is>
          <t>GB</t>
        </is>
      </c>
      <c r="F9" s="3">
        <f>Supuestos!$C$28</f>
        <v/>
      </c>
      <c r="G9" s="4">
        <f>D9*F9</f>
        <v/>
      </c>
    </row>
    <row r="10">
      <c r="A10" t="inlineStr">
        <is>
          <t>Red</t>
        </is>
      </c>
      <c r="B10" t="inlineStr">
        <is>
          <t>VPN de terceros</t>
        </is>
      </c>
      <c r="C10" t="inlineStr">
        <is>
          <t>Instancia del appliance (licencia excluida)</t>
        </is>
      </c>
      <c r="D10" s="2">
        <f>Supuestos!$C$29*Supuestos!$C$3</f>
        <v/>
      </c>
      <c r="E10" t="inlineStr">
        <is>
          <t>instancia-h</t>
        </is>
      </c>
      <c r="F10" s="3">
        <f>Supuestos!$C$30</f>
        <v/>
      </c>
      <c r="G10" s="4">
        <f>D10*F10</f>
        <v/>
      </c>
    </row>
    <row r="11">
      <c r="A11" t="inlineStr">
        <is>
          <t>Datos</t>
        </is>
      </c>
      <c r="B11" t="inlineStr">
        <is>
          <t>RDS PostgreSQL</t>
        </is>
      </c>
      <c r="C11" t="inlineStr">
        <is>
          <t>Instancias grandes Single-AZ</t>
        </is>
      </c>
      <c r="D11" s="2">
        <f>Supuestos!$C$32*Supuestos!$C$3</f>
        <v/>
      </c>
      <c r="E11" t="inlineStr">
        <is>
          <t>instancia-h</t>
        </is>
      </c>
      <c r="F11" s="3">
        <f>Supuestos!$C$33</f>
        <v/>
      </c>
      <c r="G11" s="4">
        <f>D11*F11</f>
        <v/>
      </c>
    </row>
    <row r="12">
      <c r="A12" t="inlineStr">
        <is>
          <t>Datos</t>
        </is>
      </c>
      <c r="B12" t="inlineStr">
        <is>
          <t>RDS PostgreSQL</t>
        </is>
      </c>
      <c r="C12" t="inlineStr">
        <is>
          <t>Almacenamiento</t>
        </is>
      </c>
      <c r="D12" s="2">
        <f>Supuestos!$C$34</f>
        <v/>
      </c>
      <c r="E12" t="inlineStr">
        <is>
          <t>GB-mes</t>
        </is>
      </c>
      <c r="F12" s="3">
        <f>Supuestos!$C$35</f>
        <v/>
      </c>
      <c r="G12" s="4">
        <f>D12*F12</f>
        <v/>
      </c>
    </row>
    <row r="13">
      <c r="A13" t="inlineStr">
        <is>
          <t>Datos</t>
        </is>
      </c>
      <c r="B13" t="inlineStr">
        <is>
          <t>OpenSearch (dominio)</t>
        </is>
      </c>
      <c r="C13" t="inlineStr">
        <is>
          <t>Nodos de datos</t>
        </is>
      </c>
      <c r="D13" s="2">
        <f>Supuestos!$C$36*Supuestos!$C$3</f>
        <v/>
      </c>
      <c r="E13" t="inlineStr">
        <is>
          <t>nodo-h</t>
        </is>
      </c>
      <c r="F13" s="3">
        <f>Supuestos!$C$37</f>
        <v/>
      </c>
      <c r="G13" s="4">
        <f>D13*F13</f>
        <v/>
      </c>
    </row>
    <row r="14">
      <c r="A14" t="inlineStr">
        <is>
          <t>Datos</t>
        </is>
      </c>
      <c r="B14" t="inlineStr">
        <is>
          <t>OpenSearch (dominio)</t>
        </is>
      </c>
      <c r="C14" t="inlineStr">
        <is>
          <t>Nodos maestros</t>
        </is>
      </c>
      <c r="D14" s="2">
        <f>Supuestos!$C$38*Supuestos!$C$3</f>
        <v/>
      </c>
      <c r="E14" t="inlineStr">
        <is>
          <t>nodo-h</t>
        </is>
      </c>
      <c r="F14" s="3">
        <f>Supuestos!$C$39</f>
        <v/>
      </c>
      <c r="G14" s="4">
        <f>D14*F14</f>
        <v/>
      </c>
    </row>
    <row r="15">
      <c r="A15" t="inlineStr">
        <is>
          <t>Datos</t>
        </is>
      </c>
      <c r="B15" t="inlineStr">
        <is>
          <t>OpenSearch (dominio)</t>
        </is>
      </c>
      <c r="C15" t="inlineStr">
        <is>
          <t>Almacenamiento EBS</t>
        </is>
      </c>
      <c r="D15" s="2">
        <f>Supuestos!$C$40</f>
        <v/>
      </c>
      <c r="E15" t="inlineStr">
        <is>
          <t>GB-mes</t>
        </is>
      </c>
      <c r="F15" s="3">
        <f>Supuestos!$C$41</f>
        <v/>
      </c>
      <c r="G15" s="4">
        <f>D15*F15</f>
        <v/>
      </c>
    </row>
    <row r="16">
      <c r="A16" t="inlineStr">
        <is>
          <t>Llaves y secretos</t>
        </is>
      </c>
      <c r="B16" t="inlineStr">
        <is>
          <t>AWS KMS</t>
        </is>
      </c>
      <c r="C16" t="inlineStr">
        <is>
          <t>Llaves de uso general</t>
        </is>
      </c>
      <c r="D16" s="2">
        <f>Supuestos!$C$44</f>
        <v/>
      </c>
      <c r="E16" t="inlineStr">
        <is>
          <t>llaves</t>
        </is>
      </c>
      <c r="F16" s="3">
        <f>Supuestos!$C$45</f>
        <v/>
      </c>
      <c r="G16" s="4">
        <f>D16*F16</f>
        <v/>
      </c>
    </row>
    <row r="17">
      <c r="A17" t="inlineStr">
        <is>
          <t>Llaves y secretos</t>
        </is>
      </c>
      <c r="B17" t="inlineStr">
        <is>
          <t>AWS KMS</t>
        </is>
      </c>
      <c r="C17" t="inlineStr">
        <is>
          <t>Solicitudes</t>
        </is>
      </c>
      <c r="D17" s="2">
        <f>Supuestos!$C$46/10000</f>
        <v/>
      </c>
      <c r="E17" t="inlineStr">
        <is>
          <t>10 mil</t>
        </is>
      </c>
      <c r="F17" s="3">
        <f>Supuestos!$C$47</f>
        <v/>
      </c>
      <c r="G17" s="4">
        <f>D17*F17</f>
        <v/>
      </c>
    </row>
    <row r="18">
      <c r="A18" t="inlineStr">
        <is>
          <t>Llaves y secretos</t>
        </is>
      </c>
      <c r="B18" t="inlineStr">
        <is>
          <t>Secrets Manager</t>
        </is>
      </c>
      <c r="C18" t="inlineStr">
        <is>
          <t>Secretos</t>
        </is>
      </c>
      <c r="D18" s="2">
        <f>Supuestos!$C$48</f>
        <v/>
      </c>
      <c r="E18" t="inlineStr">
        <is>
          <t>secretos</t>
        </is>
      </c>
      <c r="F18" s="3">
        <f>Supuestos!$C$49</f>
        <v/>
      </c>
      <c r="G18" s="4">
        <f>D18*F18</f>
        <v/>
      </c>
    </row>
    <row r="19">
      <c r="A19" t="inlineStr">
        <is>
          <t>Observabilidad</t>
        </is>
      </c>
      <c r="B19" t="inlineStr">
        <is>
          <t>CloudWatch Logs</t>
        </is>
      </c>
      <c r="C19" t="inlineStr">
        <is>
          <t>Ingesta</t>
        </is>
      </c>
      <c r="D19" s="2">
        <f>Supuestos!$C$51*Supuestos!$C$7</f>
        <v/>
      </c>
      <c r="E19" t="inlineStr">
        <is>
          <t>GB</t>
        </is>
      </c>
      <c r="F19" s="3">
        <f>Supuestos!$C$52</f>
        <v/>
      </c>
      <c r="G19" s="4">
        <f>D19*F19</f>
        <v/>
      </c>
    </row>
    <row r="20">
      <c r="A20" t="inlineStr">
        <is>
          <t>Observabilidad</t>
        </is>
      </c>
      <c r="B20" t="inlineStr">
        <is>
          <t>CloudWatch Logs</t>
        </is>
      </c>
      <c r="C20" t="inlineStr">
        <is>
          <t>Almacenamiento acumulado sin retención</t>
        </is>
      </c>
      <c r="D20" s="2">
        <f>Supuestos!$C$51*Supuestos!$C$7*Supuestos!$C$53</f>
        <v/>
      </c>
      <c r="E20" t="inlineStr">
        <is>
          <t>GB-mes</t>
        </is>
      </c>
      <c r="F20" s="3">
        <f>Supuestos!$C$54</f>
        <v/>
      </c>
      <c r="G20" s="4">
        <f>D20*F20</f>
        <v/>
      </c>
    </row>
    <row r="21">
      <c r="A21" t="inlineStr">
        <is>
          <t>Gobierno</t>
        </is>
      </c>
      <c r="B21" t="inlineStr">
        <is>
          <t>AWS Config / Security Hub</t>
        </is>
      </c>
      <c r="C21" t="inlineStr">
        <is>
          <t>No existe hoy</t>
        </is>
      </c>
      <c r="D21" s="2">
        <f>0</f>
        <v/>
      </c>
      <c r="E21" t="inlineStr">
        <is>
          <t>-</t>
        </is>
      </c>
      <c r="F21" s="3">
        <f>0</f>
        <v/>
      </c>
      <c r="G21" s="4">
        <f>D21*F21</f>
        <v/>
      </c>
    </row>
    <row r="22">
      <c r="A22" t="inlineStr">
        <is>
          <t>CI/CD</t>
        </is>
      </c>
      <c r="B22" t="inlineStr">
        <is>
          <t>Pipelines</t>
        </is>
      </c>
      <c r="C22" t="inlineStr">
        <is>
          <t>No existen hoy: cambios a mano</t>
        </is>
      </c>
      <c r="D22" s="2">
        <f>0</f>
        <v/>
      </c>
      <c r="E22" t="inlineStr">
        <is>
          <t>-</t>
        </is>
      </c>
      <c r="F22" s="3">
        <f>0</f>
        <v/>
      </c>
      <c r="G22" s="4">
        <f>D22*F22</f>
        <v/>
      </c>
    </row>
    <row r="23">
      <c r="A23" t="inlineStr">
        <is>
          <t>DR</t>
        </is>
      </c>
      <c r="B23" t="inlineStr">
        <is>
          <t>Segunda región</t>
        </is>
      </c>
      <c r="C23" t="inlineStr">
        <is>
          <t>No existe hoy</t>
        </is>
      </c>
      <c r="D23" s="2">
        <f>0</f>
        <v/>
      </c>
      <c r="E23" t="inlineStr">
        <is>
          <t>-</t>
        </is>
      </c>
      <c r="F23" s="3">
        <f>0</f>
        <v/>
      </c>
      <c r="G23" s="4">
        <f>D23*F23</f>
        <v/>
      </c>
    </row>
    <row r="25">
      <c r="A25" s="1" t="inlineStr">
        <is>
          <t>Resumen</t>
        </is>
      </c>
      <c r="G25" t="inlineStr">
        <is>
          <t>USD / mes</t>
        </is>
      </c>
    </row>
    <row r="26">
      <c r="A26" t="inlineStr">
        <is>
          <t>Cómputo</t>
        </is>
      </c>
      <c r="G26" s="4">
        <f>SUMIFS(G2:G23,A2:A23,"Cómputo")</f>
        <v/>
      </c>
    </row>
    <row r="27">
      <c r="A27" t="inlineStr">
        <is>
          <t>Red</t>
        </is>
      </c>
      <c r="G27" s="4">
        <f>SUMIFS(G2:G23,A2:A23,"Red")</f>
        <v/>
      </c>
    </row>
    <row r="28">
      <c r="A28" t="inlineStr">
        <is>
          <t>Datos</t>
        </is>
      </c>
      <c r="G28" s="4">
        <f>SUMIFS(G2:G23,A2:A23,"Datos")</f>
        <v/>
      </c>
    </row>
    <row r="29">
      <c r="A29" t="inlineStr">
        <is>
          <t>Llaves y secretos</t>
        </is>
      </c>
      <c r="G29" s="4">
        <f>SUMIFS(G2:G23,A2:A23,"Llaves y secretos")</f>
        <v/>
      </c>
    </row>
    <row r="30">
      <c r="A30" t="inlineStr">
        <is>
          <t>Observabilidad</t>
        </is>
      </c>
      <c r="G30" s="4">
        <f>SUMIFS(G2:G23,A2:A23,"Observabilidad")</f>
        <v/>
      </c>
    </row>
    <row r="31">
      <c r="A31" t="inlineStr">
        <is>
          <t>Gobierno</t>
        </is>
      </c>
      <c r="G31" s="4">
        <f>SUMIFS(G2:G23,A2:A23,"Gobierno")</f>
        <v/>
      </c>
    </row>
    <row r="32">
      <c r="A32" t="inlineStr">
        <is>
          <t>CI/CD</t>
        </is>
      </c>
      <c r="G32" s="4">
        <f>SUMIFS(G2:G23,A2:A23,"CI/CD")</f>
        <v/>
      </c>
    </row>
    <row r="33">
      <c r="A33" t="inlineStr">
        <is>
          <t>DR</t>
        </is>
      </c>
      <c r="G33" s="4">
        <f>SUMIFS(G2:G23,A2:A23,"DR")</f>
        <v/>
      </c>
    </row>
    <row r="34">
      <c r="A34" s="1" t="inlineStr">
        <is>
          <t>Total mensual</t>
        </is>
      </c>
      <c r="G34" s="5">
        <f>SUM(G2:G23)</f>
        <v/>
      </c>
    </row>
    <row r="35">
      <c r="A35" t="inlineStr">
        <is>
          <t>Total anual</t>
        </is>
      </c>
      <c r="G35" s="4">
        <f>G34*12</f>
        <v/>
      </c>
    </row>
    <row r="37">
      <c r="A37" t="inlineStr">
        <is>
          <t>Bajo demanda, sin capa gratuita, todo como producción. Excluido: licencias de New Relic y de la VPN, plan de soporte de AWS, impuestos y costo del equipo.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2026-10-29T19:01:58Z</dcterms:created>
  <dcterms:modified xmlns:dcterms="http://purl.org/dc/terms/" xmlns:xsi="http://www.w3.org/2001/XMLSchema-instance" xsi:type="dcterms:W3CDTF">2026-10-29T19:01:58Z</dcterms:modified>
</cp:coreProperties>
</file>