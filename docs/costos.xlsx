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Estimado" sheetId="2" state="visible" r:id="rId2"/>
    <sheet xmlns:r="http://schemas.openxmlformats.org/officeDocument/2006/relationships" name="Rec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"/>
    <numFmt numFmtId="165" formatCode="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1" t="inlineStr">
        <is>
          <t>Clave</t>
        </is>
      </c>
      <c r="B1" s="1" t="inlineStr">
        <is>
          <t>Descripción</t>
        </is>
      </c>
      <c r="C1" s="1" t="inlineStr">
        <is>
          <t>Valor</t>
        </is>
      </c>
      <c r="D1" s="1" t="inlineStr">
        <is>
          <t>Unidad</t>
        </is>
      </c>
      <c r="E1" s="1" t="inlineStr">
        <is>
          <t>Placeholder</t>
        </is>
      </c>
      <c r="F1" s="1" t="inlineStr">
        <is>
          <t>Fuente / nota</t>
        </is>
      </c>
    </row>
    <row r="2">
      <c r="A2" s="1" t="inlineStr">
        <is>
          <t>General</t>
        </is>
      </c>
    </row>
    <row r="3">
      <c r="A3" t="inlineStr">
        <is>
          <t>horas</t>
        </is>
      </c>
      <c r="B3" t="inlineStr">
        <is>
          <t>Horas por mes</t>
        </is>
      </c>
      <c r="C3" s="2" t="n">
        <v>730</v>
      </c>
      <c r="D3" t="inlineStr">
        <is>
          <t>h</t>
        </is>
      </c>
      <c r="E3" t="inlineStr">
        <is>
          <t>no</t>
        </is>
      </c>
      <c r="F3" t="inlineStr">
        <is>
          <t>Convención de AWS</t>
        </is>
      </c>
    </row>
    <row r="4">
      <c r="A4" t="inlineStr">
        <is>
          <t>region</t>
        </is>
      </c>
      <c r="B4" t="inlineStr">
        <is>
          <t>Región</t>
        </is>
      </c>
      <c r="C4" t="inlineStr">
        <is>
          <t>us-east-1</t>
        </is>
      </c>
      <c r="E4" t="inlineStr">
        <is>
          <t>no</t>
        </is>
      </c>
      <c r="F4" t="inlineStr">
        <is>
          <t>S-01</t>
        </is>
      </c>
    </row>
    <row r="5">
      <c r="A5" t="inlineStr">
        <is>
          <t>meses_pico</t>
        </is>
      </c>
      <c r="B5" t="inlineStr">
        <is>
          <t>Meses de pico al año (una semana, cuatro veces al año)</t>
        </is>
      </c>
      <c r="C5" s="2" t="n">
        <v>1</v>
      </c>
      <c r="D5" t="inlineStr">
        <is>
          <t>meses</t>
        </is>
      </c>
      <c r="E5" t="inlineStr">
        <is>
          <t>no</t>
        </is>
      </c>
      <c r="F5" t="inlineStr">
        <is>
          <t>S-02</t>
        </is>
      </c>
    </row>
    <row r="6">
      <c r="A6" t="inlineStr">
        <is>
          <t>mult_pico</t>
        </is>
      </c>
      <c r="B6" t="inlineStr">
        <is>
          <t>Multiplicador de carga en pico</t>
        </is>
      </c>
      <c r="C6" s="2" t="n">
        <v>3</v>
      </c>
      <c r="D6" t="inlineStr">
        <is>
          <t>x</t>
        </is>
      </c>
      <c r="E6" t="inlineStr">
        <is>
          <t>no</t>
        </is>
      </c>
      <c r="F6" t="inlineStr">
        <is>
          <t>S-02</t>
        </is>
      </c>
    </row>
    <row r="7">
      <c r="A7" t="inlineStr">
        <is>
          <t>factor</t>
        </is>
      </c>
      <c r="B7" t="inlineStr">
        <is>
          <t>Factor de carga mensual promedio = (12 - meses de pico + meses de pico x multiplicador) / 12</t>
        </is>
      </c>
      <c r="C7" s="2">
        <f>(12-Supuestos!$C$5+Supuestos!$C$5*Supuestos!$C$6)/12</f>
        <v/>
      </c>
      <c r="D7" t="inlineStr">
        <is>
          <t>x</t>
        </is>
      </c>
      <c r="E7" t="inlineStr">
        <is>
          <t>no</t>
        </is>
      </c>
      <c r="F7" t="inlineStr">
        <is>
          <t>Se aplica al cómputo de ECS y a los volúmenes de tráfico</t>
        </is>
      </c>
    </row>
    <row r="8">
      <c r="A8" t="inlineStr">
        <is>
          <t>req_min</t>
        </is>
      </c>
      <c r="B8" t="inlineStr">
        <is>
          <t>Solicitudes por minuto (promedio fuera de pico)</t>
        </is>
      </c>
      <c r="C8" s="2" t="n">
        <v>10000</v>
      </c>
      <c r="D8" t="inlineStr">
        <is>
          <t>req/min</t>
        </is>
      </c>
      <c r="E8" t="inlineStr">
        <is>
          <t>no</t>
        </is>
      </c>
      <c r="F8" t="inlineStr">
        <is>
          <t>Dato del escenario</t>
        </is>
      </c>
    </row>
    <row r="9">
      <c r="A9" t="inlineStr">
        <is>
          <t>req_mes</t>
        </is>
      </c>
      <c r="B9" t="inlineStr">
        <is>
          <t>Solicitudes por mes, con el factor de pico</t>
        </is>
      </c>
      <c r="C9" s="2">
        <f>Supuestos!$C$8*60*Supuestos!$C$3*Supuestos!$C$7</f>
        <v/>
      </c>
      <c r="D9" t="inlineStr">
        <is>
          <t>solicitudes</t>
        </is>
      </c>
      <c r="E9" t="inlineStr">
        <is>
          <t>no</t>
        </is>
      </c>
      <c r="F9" t="inlineStr">
        <is>
          <t>Calculado</t>
        </is>
      </c>
    </row>
    <row r="10">
      <c r="A10" s="1" t="inlineStr">
        <is>
          <t>Cómputo</t>
        </is>
      </c>
    </row>
    <row r="11">
      <c r="A11" t="inlineStr">
        <is>
          <t>servicios</t>
        </is>
      </c>
      <c r="B11" t="inlineStr">
        <is>
          <t>Servicios de ECS (una tarea equivalente por servicio)</t>
        </is>
      </c>
      <c r="C11" s="2" t="n">
        <v>100</v>
      </c>
      <c r="D11" t="inlineStr">
        <is>
          <t>servicios</t>
        </is>
      </c>
      <c r="E11" t="inlineStr">
        <is>
          <t>no</t>
        </is>
      </c>
      <c r="F11" t="inlineStr">
        <is>
          <t>S-03</t>
        </is>
      </c>
    </row>
    <row r="12">
      <c r="A12" t="inlineStr">
        <is>
          <t>vcpu</t>
        </is>
      </c>
      <c r="B12" t="inlineStr">
        <is>
          <t>vCPU promedio por servicio</t>
        </is>
      </c>
      <c r="C12" s="2" t="n">
        <v>2</v>
      </c>
      <c r="D12" t="inlineStr">
        <is>
          <t>vCPU</t>
        </is>
      </c>
      <c r="E12" t="inlineStr">
        <is>
          <t>no</t>
        </is>
      </c>
      <c r="F12" t="inlineStr">
        <is>
          <t>S-03, cota superior</t>
        </is>
      </c>
    </row>
    <row r="13">
      <c r="A13" t="inlineStr">
        <is>
          <t>gb</t>
        </is>
      </c>
      <c r="B13" t="inlineStr">
        <is>
          <t>Memoria promedio por servicio</t>
        </is>
      </c>
      <c r="C13" s="2" t="n">
        <v>4</v>
      </c>
      <c r="D13" t="inlineStr">
        <is>
          <t>GB</t>
        </is>
      </c>
      <c r="E13" t="inlineStr">
        <is>
          <t>no</t>
        </is>
      </c>
      <c r="F13" t="inlineStr">
        <is>
          <t>S-03, cota superior</t>
        </is>
      </c>
    </row>
    <row r="14">
      <c r="A14" t="inlineStr">
        <is>
          <t>p_fg_vcpu</t>
        </is>
      </c>
      <c r="B14" t="inlineStr">
        <is>
          <t>Fargate Linux ARM (Graviton): precio por vCPU-hora</t>
        </is>
      </c>
      <c r="C14" s="3" t="n">
        <v>0.03238</v>
      </c>
      <c r="D14" t="inlineStr">
        <is>
          <t>USD</t>
        </is>
      </c>
      <c r="E14" t="inlineStr">
        <is>
          <t>sí</t>
        </is>
      </c>
      <c r="F14" t="inlineStr">
        <is>
          <t>Verificar en calculadora</t>
        </is>
      </c>
    </row>
    <row r="15">
      <c r="A15" t="inlineStr">
        <is>
          <t>p_fg_gb</t>
        </is>
      </c>
      <c r="B15" t="inlineStr">
        <is>
          <t>Fargate Linux ARM (Graviton): precio por GB-hora</t>
        </is>
      </c>
      <c r="C15" s="3" t="n">
        <v>0.00356</v>
      </c>
      <c r="D15" t="inlineStr">
        <is>
          <t>USD</t>
        </is>
      </c>
      <c r="E15" t="inlineStr">
        <is>
          <t>sí</t>
        </is>
      </c>
      <c r="F15" t="inlineStr">
        <is>
          <t>Verificar en calculadora</t>
        </is>
      </c>
    </row>
    <row r="16">
      <c r="A16" t="inlineStr">
        <is>
          <t>signer_n</t>
        </is>
      </c>
      <c r="B16" t="inlineStr">
        <is>
          <t>Instancias del servicio de firma (Nitro Enclaves)</t>
        </is>
      </c>
      <c r="C16" s="2" t="n">
        <v>2</v>
      </c>
      <c r="D16" t="inlineStr">
        <is>
          <t>instancias</t>
        </is>
      </c>
      <c r="E16" t="inlineStr">
        <is>
          <t>no</t>
        </is>
      </c>
      <c r="F16" t="inlineStr">
        <is>
          <t>Una por zona; c9g.large soporta Nitro Enclaves</t>
        </is>
      </c>
    </row>
    <row r="17">
      <c r="A17" t="inlineStr">
        <is>
          <t>p_signer</t>
        </is>
      </c>
      <c r="B17" t="inlineStr">
        <is>
          <t>c9g.large (Graviton5) Linux: precio por hora</t>
        </is>
      </c>
      <c r="C17" s="3" t="n">
        <v>0.0798</v>
      </c>
      <c r="D17" t="inlineStr">
        <is>
          <t>USD</t>
        </is>
      </c>
      <c r="E17" t="inlineStr">
        <is>
          <t>sí</t>
        </is>
      </c>
      <c r="F17" t="inlineStr">
        <is>
          <t>Verificar en calculadora</t>
        </is>
      </c>
    </row>
    <row r="18">
      <c r="A18" s="1" t="inlineStr">
        <is>
          <t>Red</t>
        </is>
      </c>
    </row>
    <row r="19">
      <c r="A19" t="inlineStr">
        <is>
          <t>alb_n</t>
        </is>
      </c>
      <c r="B19" t="inlineStr">
        <is>
          <t>ALB (uno por servicio)</t>
        </is>
      </c>
      <c r="C19" s="2" t="n">
        <v>100</v>
      </c>
      <c r="D19" t="inlineStr">
        <is>
          <t>ALB</t>
        </is>
      </c>
      <c r="E19" t="inlineStr">
        <is>
          <t>no</t>
        </is>
      </c>
      <c r="F19" t="inlineStr">
        <is>
          <t>S-03</t>
        </is>
      </c>
    </row>
    <row r="20">
      <c r="A20" t="inlineStr">
        <is>
          <t>p_alb_h</t>
        </is>
      </c>
      <c r="B20" t="inlineStr">
        <is>
          <t>ALB: precio por hora</t>
        </is>
      </c>
      <c r="C20" s="3" t="n">
        <v>0.0225</v>
      </c>
      <c r="D20" t="inlineStr">
        <is>
          <t>USD</t>
        </is>
      </c>
      <c r="E20" t="inlineStr">
        <is>
          <t>sí</t>
        </is>
      </c>
      <c r="F20" t="inlineStr">
        <is>
          <t>Verificar en calculadora</t>
        </is>
      </c>
    </row>
    <row r="21">
      <c r="A21" t="inlineStr">
        <is>
          <t>lcu</t>
        </is>
      </c>
      <c r="B21" t="inlineStr">
        <is>
          <t>LCU promedio total entre todos los ALB</t>
        </is>
      </c>
      <c r="C21" s="2" t="n">
        <v>50</v>
      </c>
      <c r="D21" t="inlineStr">
        <is>
          <t>LCU</t>
        </is>
      </c>
      <c r="E21" t="inlineStr">
        <is>
          <t>sí</t>
        </is>
      </c>
    </row>
    <row r="22">
      <c r="A22" t="inlineStr">
        <is>
          <t>p_alb_lcu</t>
        </is>
      </c>
      <c r="B22" t="inlineStr">
        <is>
          <t>ALB: precio por LCU-hora</t>
        </is>
      </c>
      <c r="C22" s="3" t="n">
        <v>0.008</v>
      </c>
      <c r="D22" t="inlineStr">
        <is>
          <t>USD</t>
        </is>
      </c>
      <c r="E22" t="inlineStr">
        <is>
          <t>sí</t>
        </is>
      </c>
      <c r="F22" t="inlineStr">
        <is>
          <t>Verificar en calculadora</t>
        </is>
      </c>
    </row>
    <row r="23">
      <c r="A23" t="inlineStr">
        <is>
          <t>cf_gb</t>
        </is>
      </c>
      <c r="B23" t="inlineStr">
        <is>
          <t>CloudFront: GB transferidos a internet por mes fuera de pico</t>
        </is>
      </c>
      <c r="C23" s="2" t="n">
        <v>2000</v>
      </c>
      <c r="D23" t="inlineStr">
        <is>
          <t>GB</t>
        </is>
      </c>
      <c r="E23" t="inlineStr">
        <is>
          <t>sí</t>
        </is>
      </c>
    </row>
    <row r="24">
      <c r="A24" t="inlineStr">
        <is>
          <t>p_cf_gb</t>
        </is>
      </c>
      <c r="B24" t="inlineStr">
        <is>
          <t>CloudFront: precio por GB (sin capa gratuita)</t>
        </is>
      </c>
      <c r="C24" s="3" t="n">
        <v>0.08500000000000001</v>
      </c>
      <c r="D24" t="inlineStr">
        <is>
          <t>USD</t>
        </is>
      </c>
      <c r="E24" t="inlineStr">
        <is>
          <t>sí</t>
        </is>
      </c>
      <c r="F24" t="inlineStr">
        <is>
          <t>Verificar en calculadora</t>
        </is>
      </c>
    </row>
    <row r="25">
      <c r="A25" t="inlineStr">
        <is>
          <t>p_cf_req</t>
        </is>
      </c>
      <c r="B25" t="inlineStr">
        <is>
          <t>CloudFront: precio por millón de solicitudes HTTPS</t>
        </is>
      </c>
      <c r="C25" s="3" t="n">
        <v>1</v>
      </c>
      <c r="D25" t="inlineStr">
        <is>
          <t>USD</t>
        </is>
      </c>
      <c r="E25" t="inlineStr">
        <is>
          <t>sí</t>
        </is>
      </c>
      <c r="F25" t="inlineStr">
        <is>
          <t>Verificar en calculadora</t>
        </is>
      </c>
    </row>
    <row r="26">
      <c r="A26" t="inlineStr">
        <is>
          <t>waf_reglas</t>
        </is>
      </c>
      <c r="B26" t="inlineStr">
        <is>
          <t>WAF: reglas</t>
        </is>
      </c>
      <c r="C26" s="2" t="n">
        <v>15</v>
      </c>
      <c r="D26" t="inlineStr">
        <is>
          <t>reglas</t>
        </is>
      </c>
      <c r="E26" t="inlineStr">
        <is>
          <t>sí</t>
        </is>
      </c>
    </row>
    <row r="27">
      <c r="A27" t="inlineStr">
        <is>
          <t>p_waf_acl</t>
        </is>
      </c>
      <c r="B27" t="inlineStr">
        <is>
          <t>WAF: precio por web ACL al mes</t>
        </is>
      </c>
      <c r="C27" s="3" t="n">
        <v>5</v>
      </c>
      <c r="D27" t="inlineStr">
        <is>
          <t>USD</t>
        </is>
      </c>
      <c r="E27" t="inlineStr">
        <is>
          <t>sí</t>
        </is>
      </c>
      <c r="F27" t="inlineStr">
        <is>
          <t>Verificar en calculadora</t>
        </is>
      </c>
    </row>
    <row r="28">
      <c r="A28" t="inlineStr">
        <is>
          <t>p_waf_regla</t>
        </is>
      </c>
      <c r="B28" t="inlineStr">
        <is>
          <t>WAF: precio por regla al mes</t>
        </is>
      </c>
      <c r="C28" s="3" t="n">
        <v>1</v>
      </c>
      <c r="D28" t="inlineStr">
        <is>
          <t>USD</t>
        </is>
      </c>
      <c r="E28" t="inlineStr">
        <is>
          <t>sí</t>
        </is>
      </c>
      <c r="F28" t="inlineStr">
        <is>
          <t>Verificar en calculadora</t>
        </is>
      </c>
    </row>
    <row r="29">
      <c r="A29" t="inlineStr">
        <is>
          <t>p_waf_req</t>
        </is>
      </c>
      <c r="B29" t="inlineStr">
        <is>
          <t>WAF: precio por millón de solicitudes</t>
        </is>
      </c>
      <c r="C29" s="3" t="n">
        <v>0.6</v>
      </c>
      <c r="D29" t="inlineStr">
        <is>
          <t>USD</t>
        </is>
      </c>
      <c r="E29" t="inlineStr">
        <is>
          <t>sí</t>
        </is>
      </c>
      <c r="F29" t="inlineStr">
        <is>
          <t>Verificar en calculadora</t>
        </is>
      </c>
    </row>
    <row r="30">
      <c r="A30" t="inlineStr">
        <is>
          <t>nat_n</t>
        </is>
      </c>
      <c r="B30" t="inlineStr">
        <is>
          <t>NAT gateways (uno por zona)</t>
        </is>
      </c>
      <c r="C30" s="2" t="n">
        <v>3</v>
      </c>
      <c r="D30" t="inlineStr">
        <is>
          <t>NAT</t>
        </is>
      </c>
      <c r="E30" t="inlineStr">
        <is>
          <t>sí</t>
        </is>
      </c>
      <c r="F30" t="inlineStr">
        <is>
          <t>Mismas Elastic IPs de hoy</t>
        </is>
      </c>
    </row>
    <row r="31">
      <c r="A31" t="inlineStr">
        <is>
          <t>p_nat_h</t>
        </is>
      </c>
      <c r="B31" t="inlineStr">
        <is>
          <t>NAT: precio por hora</t>
        </is>
      </c>
      <c r="C31" s="3" t="n">
        <v>0.045</v>
      </c>
      <c r="D31" t="inlineStr">
        <is>
          <t>USD</t>
        </is>
      </c>
      <c r="E31" t="inlineStr">
        <is>
          <t>sí</t>
        </is>
      </c>
      <c r="F31" t="inlineStr">
        <is>
          <t>Verificar en calculadora</t>
        </is>
      </c>
    </row>
    <row r="32">
      <c r="A32" t="inlineStr">
        <is>
          <t>nat_gb</t>
        </is>
      </c>
      <c r="B32" t="inlineStr">
        <is>
          <t>NAT: GB procesados por mes fuera de pico</t>
        </is>
      </c>
      <c r="C32" s="2" t="n">
        <v>3000</v>
      </c>
      <c r="D32" t="inlineStr">
        <is>
          <t>GB</t>
        </is>
      </c>
      <c r="E32" t="inlineStr">
        <is>
          <t>sí</t>
        </is>
      </c>
    </row>
    <row r="33">
      <c r="A33" t="inlineStr">
        <is>
          <t>p_nat_gb</t>
        </is>
      </c>
      <c r="B33" t="inlineStr">
        <is>
          <t>NAT: precio por GB</t>
        </is>
      </c>
      <c r="C33" s="3" t="n">
        <v>0.045</v>
      </c>
      <c r="D33" t="inlineStr">
        <is>
          <t>USD</t>
        </is>
      </c>
      <c r="E33" t="inlineStr">
        <is>
          <t>sí</t>
        </is>
      </c>
      <c r="F33" t="inlineStr">
        <is>
          <t>Verificar en calculadora</t>
        </is>
      </c>
    </row>
    <row r="34">
      <c r="A34" t="inlineStr">
        <is>
          <t>lat_svc</t>
        </is>
      </c>
      <c r="B34" t="inlineStr">
        <is>
          <t>VPC Lattice: servicios</t>
        </is>
      </c>
      <c r="C34" s="2" t="n">
        <v>100</v>
      </c>
      <c r="D34" t="inlineStr">
        <is>
          <t>servicios</t>
        </is>
      </c>
      <c r="E34" t="inlineStr">
        <is>
          <t>no</t>
        </is>
      </c>
      <c r="F34" t="inlineStr">
        <is>
          <t>Uno por servicio de ECS</t>
        </is>
      </c>
    </row>
    <row r="35">
      <c r="A35" t="inlineStr">
        <is>
          <t>p_lat_svc</t>
        </is>
      </c>
      <c r="B35" t="inlineStr">
        <is>
          <t>VPC Lattice: precio por servicio-hora</t>
        </is>
      </c>
      <c r="C35" s="3" t="n">
        <v>0.025</v>
      </c>
      <c r="D35" t="inlineStr">
        <is>
          <t>USD</t>
        </is>
      </c>
      <c r="E35" t="inlineStr">
        <is>
          <t>sí</t>
        </is>
      </c>
      <c r="F35" t="inlineStr">
        <is>
          <t>Verificar en calculadora</t>
        </is>
      </c>
    </row>
    <row r="36">
      <c r="A36" t="inlineStr">
        <is>
          <t>lat_gb</t>
        </is>
      </c>
      <c r="B36" t="inlineStr">
        <is>
          <t>VPC Lattice: GB procesados por mes fuera de pico</t>
        </is>
      </c>
      <c r="C36" s="2" t="n">
        <v>2000</v>
      </c>
      <c r="D36" t="inlineStr">
        <is>
          <t>GB</t>
        </is>
      </c>
      <c r="E36" t="inlineStr">
        <is>
          <t>sí</t>
        </is>
      </c>
    </row>
    <row r="37">
      <c r="A37" t="inlineStr">
        <is>
          <t>p_lat_gb</t>
        </is>
      </c>
      <c r="B37" t="inlineStr">
        <is>
          <t>VPC Lattice: precio por GB</t>
        </is>
      </c>
      <c r="C37" s="3" t="n">
        <v>0.025</v>
      </c>
      <c r="D37" t="inlineStr">
        <is>
          <t>USD</t>
        </is>
      </c>
      <c r="E37" t="inlineStr">
        <is>
          <t>sí</t>
        </is>
      </c>
      <c r="F37" t="inlineStr">
        <is>
          <t>Verificar en calculadora</t>
        </is>
      </c>
    </row>
    <row r="38">
      <c r="A38" t="inlineStr">
        <is>
          <t>p_lat_req</t>
        </is>
      </c>
      <c r="B38" t="inlineStr">
        <is>
          <t>VPC Lattice: precio por millón de solicitudes (sin cuota gratuita)</t>
        </is>
      </c>
      <c r="C38" s="3" t="n">
        <v>0.1</v>
      </c>
      <c r="D38" t="inlineStr">
        <is>
          <t>USD</t>
        </is>
      </c>
      <c r="E38" t="inlineStr">
        <is>
          <t>sí</t>
        </is>
      </c>
      <c r="F38" t="inlineStr">
        <is>
          <t>Verificar en calculadora</t>
        </is>
      </c>
    </row>
    <row r="39">
      <c r="A39" t="inlineStr">
        <is>
          <t>vpn_asoc</t>
        </is>
      </c>
      <c r="B39" t="inlineStr">
        <is>
          <t>Client VPN: asociaciones de subred</t>
        </is>
      </c>
      <c r="C39" s="2" t="n">
        <v>2</v>
      </c>
      <c r="D39" t="inlineStr">
        <is>
          <t>asociaciones</t>
        </is>
      </c>
      <c r="E39" t="inlineStr">
        <is>
          <t>sí</t>
        </is>
      </c>
    </row>
    <row r="40">
      <c r="A40" t="inlineStr">
        <is>
          <t>p_vpn_asoc</t>
        </is>
      </c>
      <c r="B40" t="inlineStr">
        <is>
          <t>Client VPN: precio por asociación-hora</t>
        </is>
      </c>
      <c r="C40" s="3" t="n">
        <v>0.1</v>
      </c>
      <c r="D40" t="inlineStr">
        <is>
          <t>USD</t>
        </is>
      </c>
      <c r="E40" t="inlineStr">
        <is>
          <t>sí</t>
        </is>
      </c>
      <c r="F40" t="inlineStr">
        <is>
          <t>Verificar en calculadora</t>
        </is>
      </c>
    </row>
    <row r="41">
      <c r="A41" t="inlineStr">
        <is>
          <t>vpn_conn_h</t>
        </is>
      </c>
      <c r="B41" t="inlineStr">
        <is>
          <t>Client VPN: horas de conexión por mes (10 ingenieros)</t>
        </is>
      </c>
      <c r="C41" s="2" t="n">
        <v>1760</v>
      </c>
      <c r="D41" t="inlineStr">
        <is>
          <t>h</t>
        </is>
      </c>
      <c r="E41" t="inlineStr">
        <is>
          <t>sí</t>
        </is>
      </c>
      <c r="F41" t="inlineStr">
        <is>
          <t>10 x 8 h x 22 días</t>
        </is>
      </c>
    </row>
    <row r="42">
      <c r="A42" t="inlineStr">
        <is>
          <t>p_vpn_conn</t>
        </is>
      </c>
      <c r="B42" t="inlineStr">
        <is>
          <t>Client VPN: precio por conexión-hora</t>
        </is>
      </c>
      <c r="C42" s="3" t="n">
        <v>0.05</v>
      </c>
      <c r="D42" t="inlineStr">
        <is>
          <t>USD</t>
        </is>
      </c>
      <c r="E42" t="inlineStr">
        <is>
          <t>sí</t>
        </is>
      </c>
      <c r="F42" t="inlineStr">
        <is>
          <t>Verificar en calculadora</t>
        </is>
      </c>
    </row>
    <row r="43">
      <c r="A43" s="1" t="inlineStr">
        <is>
          <t>Datos</t>
        </is>
      </c>
    </row>
    <row r="44">
      <c r="A44" t="inlineStr">
        <is>
          <t>rds_n</t>
        </is>
      </c>
      <c r="B44" t="inlineStr">
        <is>
          <t>RDS PostgreSQL: instancias grandes en una zona</t>
        </is>
      </c>
      <c r="C44" s="2" t="n">
        <v>30</v>
      </c>
      <c r="D44" t="inlineStr">
        <is>
          <t>instancias</t>
        </is>
      </c>
      <c r="E44" t="inlineStr">
        <is>
          <t>no</t>
        </is>
      </c>
      <c r="F44" t="inlineStr">
        <is>
          <t>S-04</t>
        </is>
      </c>
    </row>
    <row r="45">
      <c r="A45" t="inlineStr">
        <is>
          <t>p_rds</t>
        </is>
      </c>
      <c r="B45" t="inlineStr">
        <is>
          <t>RDS PostgreSQL db.r7g.xlarge Single-AZ: precio por hora</t>
        </is>
      </c>
      <c r="C45" s="3" t="n">
        <v>0.48</v>
      </c>
      <c r="D45" t="inlineStr">
        <is>
          <t>USD</t>
        </is>
      </c>
      <c r="E45" t="inlineStr">
        <is>
          <t>sí</t>
        </is>
      </c>
      <c r="F45" t="inlineStr">
        <is>
          <t>Verificar en calculadora</t>
        </is>
      </c>
    </row>
    <row r="46">
      <c r="A46" t="inlineStr">
        <is>
          <t>rds_gb</t>
        </is>
      </c>
      <c r="B46" t="inlineStr">
        <is>
          <t>RDS: almacenamiento gp3 total</t>
        </is>
      </c>
      <c r="C46" s="2" t="n">
        <v>6000</v>
      </c>
      <c r="D46" t="inlineStr">
        <is>
          <t>GB</t>
        </is>
      </c>
      <c r="E46" t="inlineStr">
        <is>
          <t>sí</t>
        </is>
      </c>
      <c r="F46" t="inlineStr">
        <is>
          <t>200 GB por base</t>
        </is>
      </c>
    </row>
    <row r="47">
      <c r="A47" t="inlineStr">
        <is>
          <t>p_rds_gb</t>
        </is>
      </c>
      <c r="B47" t="inlineStr">
        <is>
          <t>RDS gp3 Single-AZ: precio por GB-mes</t>
        </is>
      </c>
      <c r="C47" s="3" t="n">
        <v>0.115</v>
      </c>
      <c r="D47" t="inlineStr">
        <is>
          <t>USD</t>
        </is>
      </c>
      <c r="E47" t="inlineStr">
        <is>
          <t>sí</t>
        </is>
      </c>
      <c r="F47" t="inlineStr">
        <is>
          <t>Verificar en calculadora</t>
        </is>
      </c>
    </row>
    <row r="48">
      <c r="A48" t="inlineStr">
        <is>
          <t>os_ocu</t>
        </is>
      </c>
      <c r="B48" t="inlineStr">
        <is>
          <t>OpenSearch Serverless NextGen: OCU promedio</t>
        </is>
      </c>
      <c r="C48" s="2" t="n">
        <v>4</v>
      </c>
      <c r="D48" t="inlineStr">
        <is>
          <t>OCU</t>
        </is>
      </c>
      <c r="E48" t="inlineStr">
        <is>
          <t>sí</t>
        </is>
      </c>
      <c r="F48" t="inlineStr">
        <is>
          <t>No está en la calculadora</t>
        </is>
      </c>
    </row>
    <row r="49">
      <c r="A49" t="inlineStr">
        <is>
          <t>p_os_ocu</t>
        </is>
      </c>
      <c r="B49" t="inlineStr">
        <is>
          <t>OpenSearch Serverless NextGen: precio por OCU-hora</t>
        </is>
      </c>
      <c r="C49" s="3" t="n">
        <v>0.24</v>
      </c>
      <c r="D49" t="inlineStr">
        <is>
          <t>USD</t>
        </is>
      </c>
      <c r="E49" t="inlineStr">
        <is>
          <t>sí</t>
        </is>
      </c>
      <c r="F49" t="inlineStr">
        <is>
          <t>Página de precios</t>
        </is>
      </c>
    </row>
    <row r="50">
      <c r="A50" t="inlineStr">
        <is>
          <t>os_gb</t>
        </is>
      </c>
      <c r="B50" t="inlineStr">
        <is>
          <t>OpenSearch Serverless: GB almacenados</t>
        </is>
      </c>
      <c r="C50" s="2" t="n">
        <v>100</v>
      </c>
      <c r="D50" t="inlineStr">
        <is>
          <t>GB</t>
        </is>
      </c>
      <c r="E50" t="inlineStr">
        <is>
          <t>no</t>
        </is>
      </c>
      <c r="F50" t="inlineStr">
        <is>
          <t>S-05</t>
        </is>
      </c>
    </row>
    <row r="51">
      <c r="A51" t="inlineStr">
        <is>
          <t>p_os_gb</t>
        </is>
      </c>
      <c r="B51" t="inlineStr">
        <is>
          <t>OpenSearch Serverless: precio por GB-mes</t>
        </is>
      </c>
      <c r="C51" s="3" t="n">
        <v>0.024</v>
      </c>
      <c r="D51" t="inlineStr">
        <is>
          <t>USD</t>
        </is>
      </c>
      <c r="E51" t="inlineStr">
        <is>
          <t>sí</t>
        </is>
      </c>
      <c r="F51" t="inlineStr">
        <is>
          <t>Página de precios</t>
        </is>
      </c>
    </row>
    <row r="52">
      <c r="A52" s="1" t="inlineStr">
        <is>
          <t>Llaves de wallets y secretos</t>
        </is>
      </c>
    </row>
    <row r="53">
      <c r="A53" t="inlineStr">
        <is>
          <t>firmas</t>
        </is>
      </c>
      <c r="B53" t="inlineStr">
        <is>
          <t>Firmas por mes</t>
        </is>
      </c>
      <c r="C53" s="2" t="n">
        <v>10000000</v>
      </c>
      <c r="D53" t="inlineStr">
        <is>
          <t>firmas</t>
        </is>
      </c>
      <c r="E53" t="inlineStr">
        <is>
          <t>no</t>
        </is>
      </c>
      <c r="F53" t="inlineStr">
        <is>
          <t>S-18</t>
        </is>
      </c>
    </row>
    <row r="54">
      <c r="A54" t="inlineStr">
        <is>
          <t>p_ddb_rru</t>
        </is>
      </c>
      <c r="B54" t="inlineStr">
        <is>
          <t>DynamoDB on-demand: precio por millón de lecturas</t>
        </is>
      </c>
      <c r="C54" s="3" t="n">
        <v>0.125</v>
      </c>
      <c r="D54" t="inlineStr">
        <is>
          <t>USD</t>
        </is>
      </c>
      <c r="E54" t="inlineStr">
        <is>
          <t>sí</t>
        </is>
      </c>
      <c r="F54" t="inlineStr">
        <is>
          <t>Verificar en calculadora</t>
        </is>
      </c>
    </row>
    <row r="55">
      <c r="A55" t="inlineStr">
        <is>
          <t>ddb_esc</t>
        </is>
      </c>
      <c r="B55" t="inlineStr">
        <is>
          <t>DynamoDB: escrituras por mes (altas de wallets, más la réplica global)</t>
        </is>
      </c>
      <c r="C55" s="2" t="n">
        <v>200000</v>
      </c>
      <c r="D55" t="inlineStr">
        <is>
          <t>escrituras</t>
        </is>
      </c>
      <c r="E55" t="inlineStr">
        <is>
          <t>sí</t>
        </is>
      </c>
    </row>
    <row r="56">
      <c r="A56" t="inlineStr">
        <is>
          <t>p_ddb_wru</t>
        </is>
      </c>
      <c r="B56" t="inlineStr">
        <is>
          <t>DynamoDB on-demand: precio por millón de escrituras</t>
        </is>
      </c>
      <c r="C56" s="3" t="n">
        <v>0.625</v>
      </c>
      <c r="D56" t="inlineStr">
        <is>
          <t>USD</t>
        </is>
      </c>
      <c r="E56" t="inlineStr">
        <is>
          <t>sí</t>
        </is>
      </c>
      <c r="F56" t="inlineStr">
        <is>
          <t>Verificar en calculadora</t>
        </is>
      </c>
    </row>
    <row r="57">
      <c r="A57" t="inlineStr">
        <is>
          <t>ddb_gb</t>
        </is>
      </c>
      <c r="B57" t="inlineStr">
        <is>
          <t>DynamoDB: GB almacenados (región principal y réplica)</t>
        </is>
      </c>
      <c r="C57" s="2" t="n">
        <v>2</v>
      </c>
      <c r="D57" t="inlineStr">
        <is>
          <t>GB</t>
        </is>
      </c>
      <c r="E57" t="inlineStr">
        <is>
          <t>sí</t>
        </is>
      </c>
    </row>
    <row r="58">
      <c r="A58" t="inlineStr">
        <is>
          <t>p_ddb_gb</t>
        </is>
      </c>
      <c r="B58" t="inlineStr">
        <is>
          <t>DynamoDB: precio por GB-mes</t>
        </is>
      </c>
      <c r="C58" s="3" t="n">
        <v>0.25</v>
      </c>
      <c r="D58" t="inlineStr">
        <is>
          <t>USD</t>
        </is>
      </c>
      <c r="E58" t="inlineStr">
        <is>
          <t>sí</t>
        </is>
      </c>
      <c r="F58" t="inlineStr">
        <is>
          <t>Verificar en calculadora</t>
        </is>
      </c>
    </row>
    <row r="59">
      <c r="A59" t="inlineStr">
        <is>
          <t>kms_llaves</t>
        </is>
      </c>
      <c r="B59" t="inlineStr">
        <is>
          <t>Llaves de KMS (por cuenta y por servicio, y la de wallets con su réplica)</t>
        </is>
      </c>
      <c r="C59" s="2" t="n">
        <v>20</v>
      </c>
      <c r="D59" t="inlineStr">
        <is>
          <t>llaves</t>
        </is>
      </c>
      <c r="E59" t="inlineStr">
        <is>
          <t>sí</t>
        </is>
      </c>
    </row>
    <row r="60">
      <c r="A60" t="inlineStr">
        <is>
          <t>p_kms_llave</t>
        </is>
      </c>
      <c r="B60" t="inlineStr">
        <is>
          <t>KMS: precio por llave al mes</t>
        </is>
      </c>
      <c r="C60" s="3" t="n">
        <v>1</v>
      </c>
      <c r="D60" t="inlineStr">
        <is>
          <t>USD</t>
        </is>
      </c>
      <c r="E60" t="inlineStr">
        <is>
          <t>sí</t>
        </is>
      </c>
      <c r="F60" t="inlineStr">
        <is>
          <t>Verificar en calculadora</t>
        </is>
      </c>
    </row>
    <row r="61">
      <c r="A61" t="inlineStr">
        <is>
          <t>kms_req</t>
        </is>
      </c>
      <c r="B61" t="inlineStr">
        <is>
          <t>KMS: solicitudes por mes (un Decrypt por firma, más el resto)</t>
        </is>
      </c>
      <c r="C61" s="2">
        <f>Supuestos!$C$53*2</f>
        <v/>
      </c>
      <c r="D61" t="inlineStr">
        <is>
          <t>solicitudes</t>
        </is>
      </c>
      <c r="E61" t="inlineStr">
        <is>
          <t>no</t>
        </is>
      </c>
      <c r="F61" t="inlineStr">
        <is>
          <t>Calculado</t>
        </is>
      </c>
    </row>
    <row r="62">
      <c r="A62" t="inlineStr">
        <is>
          <t>p_kms_req</t>
        </is>
      </c>
      <c r="B62" t="inlineStr">
        <is>
          <t>KMS: precio por 10 mil solicitudes (sin capa gratuita)</t>
        </is>
      </c>
      <c r="C62" s="3" t="n">
        <v>0.03</v>
      </c>
      <c r="D62" t="inlineStr">
        <is>
          <t>USD</t>
        </is>
      </c>
      <c r="E62" t="inlineStr">
        <is>
          <t>sí</t>
        </is>
      </c>
      <c r="F62" t="inlineStr">
        <is>
          <t>Verificar en calculadora</t>
        </is>
      </c>
    </row>
    <row r="63">
      <c r="A63" t="inlineStr">
        <is>
          <t>secretos</t>
        </is>
      </c>
      <c r="B63" t="inlineStr">
        <is>
          <t>Secrets Manager: secretos</t>
        </is>
      </c>
      <c r="C63" s="2" t="n">
        <v>150</v>
      </c>
      <c r="D63" t="inlineStr">
        <is>
          <t>secretos</t>
        </is>
      </c>
      <c r="E63" t="inlineStr">
        <is>
          <t>sí</t>
        </is>
      </c>
    </row>
    <row r="64">
      <c r="A64" t="inlineStr">
        <is>
          <t>p_secreto</t>
        </is>
      </c>
      <c r="B64" t="inlineStr">
        <is>
          <t>Secrets Manager: precio por secreto al mes</t>
        </is>
      </c>
      <c r="C64" s="3" t="n">
        <v>0.4</v>
      </c>
      <c r="D64" t="inlineStr">
        <is>
          <t>USD</t>
        </is>
      </c>
      <c r="E64" t="inlineStr">
        <is>
          <t>sí</t>
        </is>
      </c>
      <c r="F64" t="inlineStr">
        <is>
          <t>Verificar en calculadora</t>
        </is>
      </c>
    </row>
    <row r="65">
      <c r="A65" s="1" t="inlineStr">
        <is>
          <t>Observabilidad</t>
        </is>
      </c>
    </row>
    <row r="66">
      <c r="A66" t="inlineStr">
        <is>
          <t>logs_gb</t>
        </is>
      </c>
      <c r="B66" t="inlineStr">
        <is>
          <t>CloudWatch Logs: GB ingeridos por mes fuera de pico</t>
        </is>
      </c>
      <c r="C66" s="2" t="n">
        <v>1500</v>
      </c>
      <c r="D66" t="inlineStr">
        <is>
          <t>GB</t>
        </is>
      </c>
      <c r="E66" t="inlineStr">
        <is>
          <t>sí</t>
        </is>
      </c>
    </row>
    <row r="67">
      <c r="A67" t="inlineStr">
        <is>
          <t>p_logs_in</t>
        </is>
      </c>
      <c r="B67" t="inlineStr">
        <is>
          <t>CloudWatch Logs: precio por GB ingerido</t>
        </is>
      </c>
      <c r="C67" s="3" t="n">
        <v>0.5</v>
      </c>
      <c r="D67" t="inlineStr">
        <is>
          <t>USD</t>
        </is>
      </c>
      <c r="E67" t="inlineStr">
        <is>
          <t>sí</t>
        </is>
      </c>
      <c r="F67" t="inlineStr">
        <is>
          <t>Verificar en calculadora</t>
        </is>
      </c>
    </row>
    <row r="68">
      <c r="A68" t="inlineStr">
        <is>
          <t>logs_ret_gb</t>
        </is>
      </c>
      <c r="B68" t="inlineStr">
        <is>
          <t>CloudWatch Logs: GB retenidos (30 días)</t>
        </is>
      </c>
      <c r="C68" s="2" t="n">
        <v>1500</v>
      </c>
      <c r="D68" t="inlineStr">
        <is>
          <t>GB</t>
        </is>
      </c>
      <c r="E68" t="inlineStr">
        <is>
          <t>sí</t>
        </is>
      </c>
      <c r="F68" t="inlineStr">
        <is>
          <t>ADR-028</t>
        </is>
      </c>
    </row>
    <row r="69">
      <c r="A69" t="inlineStr">
        <is>
          <t>p_logs_st</t>
        </is>
      </c>
      <c r="B69" t="inlineStr">
        <is>
          <t>CloudWatch Logs: precio por GB-mes almacenado</t>
        </is>
      </c>
      <c r="C69" s="3" t="n">
        <v>0.03</v>
      </c>
      <c r="D69" t="inlineStr">
        <is>
          <t>USD</t>
        </is>
      </c>
      <c r="E69" t="inlineStr">
        <is>
          <t>sí</t>
        </is>
      </c>
      <c r="F69" t="inlineStr">
        <is>
          <t>Verificar en calculadora</t>
        </is>
      </c>
    </row>
    <row r="70">
      <c r="A70" t="inlineStr">
        <is>
          <t>s3_gb</t>
        </is>
      </c>
      <c r="B70" t="inlineStr">
        <is>
          <t>Archivo de logs en S3 (acumulado)</t>
        </is>
      </c>
      <c r="C70" s="2" t="n">
        <v>20000</v>
      </c>
      <c r="D70" t="inlineStr">
        <is>
          <t>GB</t>
        </is>
      </c>
      <c r="E70" t="inlineStr">
        <is>
          <t>sí</t>
        </is>
      </c>
    </row>
    <row r="71">
      <c r="A71" t="inlineStr">
        <is>
          <t>p_s3_gb</t>
        </is>
      </c>
      <c r="B71" t="inlineStr">
        <is>
          <t>S3: precio por GB-mes (promedio con ciclo de vida)</t>
        </is>
      </c>
      <c r="C71" s="3" t="n">
        <v>0.0125</v>
      </c>
      <c r="D71" t="inlineStr">
        <is>
          <t>USD</t>
        </is>
      </c>
      <c r="E71" t="inlineStr">
        <is>
          <t>sí</t>
        </is>
      </c>
      <c r="F71" t="inlineStr">
        <is>
          <t>Verificar en calculadora</t>
        </is>
      </c>
    </row>
    <row r="72">
      <c r="A72" t="inlineStr">
        <is>
          <t>athena_tb</t>
        </is>
      </c>
      <c r="B72" t="inlineStr">
        <is>
          <t>Athena: TB escaneados por mes</t>
        </is>
      </c>
      <c r="C72" s="2" t="n">
        <v>1</v>
      </c>
      <c r="D72" t="inlineStr">
        <is>
          <t>TB</t>
        </is>
      </c>
      <c r="E72" t="inlineStr">
        <is>
          <t>sí</t>
        </is>
      </c>
    </row>
    <row r="73">
      <c r="A73" t="inlineStr">
        <is>
          <t>p_athena</t>
        </is>
      </c>
      <c r="B73" t="inlineStr">
        <is>
          <t>Athena: precio por TB escaneado</t>
        </is>
      </c>
      <c r="C73" s="3" t="n">
        <v>5</v>
      </c>
      <c r="D73" t="inlineStr">
        <is>
          <t>USD</t>
        </is>
      </c>
      <c r="E73" t="inlineStr">
        <is>
          <t>sí</t>
        </is>
      </c>
      <c r="F73" t="inlineStr">
        <is>
          <t>Verificar en calculadora</t>
        </is>
      </c>
    </row>
    <row r="74">
      <c r="A74" t="inlineStr">
        <is>
          <t>omni</t>
        </is>
      </c>
      <c r="B74" t="inlineStr">
        <is>
          <t>CloudWatch Omni: costo mensual mientras se evalúa</t>
        </is>
      </c>
      <c r="C74" s="3" t="n">
        <v>0</v>
      </c>
      <c r="D74" t="inlineStr">
        <is>
          <t>USD</t>
        </is>
      </c>
      <c r="E74" t="inlineStr">
        <is>
          <t>sí</t>
        </is>
      </c>
      <c r="F74" t="inlineStr">
        <is>
          <t>No está en la calculadora</t>
        </is>
      </c>
    </row>
    <row r="75">
      <c r="A75" s="1" t="inlineStr">
        <is>
          <t>Gobierno y seguridad</t>
        </is>
      </c>
    </row>
    <row r="76">
      <c r="A76" t="inlineStr">
        <is>
          <t>config_items</t>
        </is>
      </c>
      <c r="B76" t="inlineStr">
        <is>
          <t>AWS Config: elementos de configuración registrados por mes</t>
        </is>
      </c>
      <c r="C76" s="2" t="n">
        <v>50000</v>
      </c>
      <c r="D76" t="inlineStr">
        <is>
          <t>elementos</t>
        </is>
      </c>
      <c r="E76" t="inlineStr">
        <is>
          <t>sí</t>
        </is>
      </c>
    </row>
    <row r="77">
      <c r="A77" t="inlineStr">
        <is>
          <t>p_config</t>
        </is>
      </c>
      <c r="B77" t="inlineStr">
        <is>
          <t>AWS Config: precio por elemento</t>
        </is>
      </c>
      <c r="C77" s="3" t="n">
        <v>0.003</v>
      </c>
      <c r="D77" t="inlineStr">
        <is>
          <t>USD</t>
        </is>
      </c>
      <c r="E77" t="inlineStr">
        <is>
          <t>sí</t>
        </is>
      </c>
      <c r="F77" t="inlineStr">
        <is>
          <t>Verificar en calculadora</t>
        </is>
      </c>
    </row>
    <row r="78">
      <c r="A78" t="inlineStr">
        <is>
          <t>sh_checks</t>
        </is>
      </c>
      <c r="B78" t="inlineStr">
        <is>
          <t>Security Hub: verificaciones por mes</t>
        </is>
      </c>
      <c r="C78" s="2" t="n">
        <v>100000</v>
      </c>
      <c r="D78" t="inlineStr">
        <is>
          <t>verificaciones</t>
        </is>
      </c>
      <c r="E78" t="inlineStr">
        <is>
          <t>sí</t>
        </is>
      </c>
    </row>
    <row r="79">
      <c r="A79" t="inlineStr">
        <is>
          <t>p_sh</t>
        </is>
      </c>
      <c r="B79" t="inlineStr">
        <is>
          <t>Security Hub: precio por verificación</t>
        </is>
      </c>
      <c r="C79" s="3" t="n">
        <v>0.001</v>
      </c>
      <c r="D79" t="inlineStr">
        <is>
          <t>USD</t>
        </is>
      </c>
      <c r="E79" t="inlineStr">
        <is>
          <t>sí</t>
        </is>
      </c>
      <c r="F79" t="inlineStr">
        <is>
          <t>Verificar en calculadora</t>
        </is>
      </c>
    </row>
    <row r="80">
      <c r="A80" t="inlineStr">
        <is>
          <t>ct_data_ev</t>
        </is>
      </c>
      <c r="B80" t="inlineStr">
        <is>
          <t>CloudTrail: millones de eventos de datos por mes</t>
        </is>
      </c>
      <c r="C80" s="2" t="n">
        <v>10</v>
      </c>
      <c r="D80" t="inlineStr">
        <is>
          <t>millones</t>
        </is>
      </c>
      <c r="E80" t="inlineStr">
        <is>
          <t>sí</t>
        </is>
      </c>
    </row>
    <row r="81">
      <c r="A81" t="inlineStr">
        <is>
          <t>p_ct</t>
        </is>
      </c>
      <c r="B81" t="inlineStr">
        <is>
          <t>CloudTrail: precio por millón de eventos de datos</t>
        </is>
      </c>
      <c r="C81" s="3" t="n">
        <v>1</v>
      </c>
      <c r="D81" t="inlineStr">
        <is>
          <t>USD</t>
        </is>
      </c>
      <c r="E81" t="inlineStr">
        <is>
          <t>sí</t>
        </is>
      </c>
      <c r="F81" t="inlineStr">
        <is>
          <t>Verificar en calculadora</t>
        </is>
      </c>
    </row>
    <row r="82">
      <c r="A82" s="1" t="inlineStr">
        <is>
          <t>CI/CD</t>
        </is>
      </c>
    </row>
    <row r="83">
      <c r="A83" t="inlineStr">
        <is>
          <t>cp_min</t>
        </is>
      </c>
      <c r="B83" t="inlineStr">
        <is>
          <t>CodePipeline V2: minutos de ejecución de acciones</t>
        </is>
      </c>
      <c r="C83" s="2" t="n">
        <v>30000</v>
      </c>
      <c r="D83" t="inlineStr">
        <is>
          <t>min</t>
        </is>
      </c>
      <c r="E83" t="inlineStr">
        <is>
          <t>sí</t>
        </is>
      </c>
    </row>
    <row r="84">
      <c r="A84" t="inlineStr">
        <is>
          <t>p_cp_min</t>
        </is>
      </c>
      <c r="B84" t="inlineStr">
        <is>
          <t>CodePipeline V2: precio por minuto</t>
        </is>
      </c>
      <c r="C84" s="3" t="n">
        <v>0.002</v>
      </c>
      <c r="D84" t="inlineStr">
        <is>
          <t>USD</t>
        </is>
      </c>
      <c r="E84" t="inlineStr">
        <is>
          <t>sí</t>
        </is>
      </c>
      <c r="F84" t="inlineStr">
        <is>
          <t>Verificar en calculadora</t>
        </is>
      </c>
    </row>
    <row r="85">
      <c r="A85" t="inlineStr">
        <is>
          <t>cb_min</t>
        </is>
      </c>
      <c r="B85" t="inlineStr">
        <is>
          <t>CodeBuild ARM: minutos de build</t>
        </is>
      </c>
      <c r="C85" s="2" t="n">
        <v>40000</v>
      </c>
      <c r="D85" t="inlineStr">
        <is>
          <t>min</t>
        </is>
      </c>
      <c r="E85" t="inlineStr">
        <is>
          <t>sí</t>
        </is>
      </c>
    </row>
    <row r="86">
      <c r="A86" t="inlineStr">
        <is>
          <t>p_cb_min</t>
        </is>
      </c>
      <c r="B86" t="inlineStr">
        <is>
          <t>CodeBuild ARM: precio por minuto</t>
        </is>
      </c>
      <c r="C86" s="3" t="n">
        <v>0.0034</v>
      </c>
      <c r="D86" t="inlineStr">
        <is>
          <t>USD</t>
        </is>
      </c>
      <c r="E86" t="inlineStr">
        <is>
          <t>sí</t>
        </is>
      </c>
      <c r="F86" t="inlineStr">
        <is>
          <t>Verificar en calculadora</t>
        </is>
      </c>
    </row>
    <row r="87">
      <c r="A87" t="inlineStr">
        <is>
          <t>ecr_gb</t>
        </is>
      </c>
      <c r="B87" t="inlineStr">
        <is>
          <t>ECR: GB almacenados (con réplica en DR)</t>
        </is>
      </c>
      <c r="C87" s="2" t="n">
        <v>500</v>
      </c>
      <c r="D87" t="inlineStr">
        <is>
          <t>GB</t>
        </is>
      </c>
      <c r="E87" t="inlineStr">
        <is>
          <t>sí</t>
        </is>
      </c>
    </row>
    <row r="88">
      <c r="A88" t="inlineStr">
        <is>
          <t>p_ecr_gb</t>
        </is>
      </c>
      <c r="B88" t="inlineStr">
        <is>
          <t>ECR: precio por GB-mes</t>
        </is>
      </c>
      <c r="C88" s="3" t="n">
        <v>0.1</v>
      </c>
      <c r="D88" t="inlineStr">
        <is>
          <t>USD</t>
        </is>
      </c>
      <c r="E88" t="inlineStr">
        <is>
          <t>sí</t>
        </is>
      </c>
      <c r="F88" t="inlineStr">
        <is>
          <t>Verificar en calculadora</t>
        </is>
      </c>
    </row>
    <row r="89">
      <c r="A89" s="1" t="inlineStr">
        <is>
          <t>DR (pilot light)</t>
        </is>
      </c>
    </row>
    <row r="90">
      <c r="A90" t="inlineStr">
        <is>
          <t>dr_gb</t>
        </is>
      </c>
      <c r="B90" t="inlineStr">
        <is>
          <t>Transferencia entre regiones por mes</t>
        </is>
      </c>
      <c r="C90" s="2" t="n">
        <v>3000</v>
      </c>
      <c r="D90" t="inlineStr">
        <is>
          <t>GB</t>
        </is>
      </c>
      <c r="E90" t="inlineStr">
        <is>
          <t>sí</t>
        </is>
      </c>
    </row>
    <row r="91">
      <c r="A91" t="inlineStr">
        <is>
          <t>p_dr_gb</t>
        </is>
      </c>
      <c r="B91" t="inlineStr">
        <is>
          <t>Transferencia entre regiones: precio por GB</t>
        </is>
      </c>
      <c r="C91" s="3" t="n">
        <v>0.02</v>
      </c>
      <c r="D91" t="inlineStr">
        <is>
          <t>USD</t>
        </is>
      </c>
      <c r="E91" t="inlineStr">
        <is>
          <t>sí</t>
        </is>
      </c>
      <c r="F91" t="inlineStr">
        <is>
          <t>Verificar en calculadora</t>
        </is>
      </c>
    </row>
    <row r="92">
      <c r="A92" s="1" t="inlineStr">
        <is>
          <t>Sandboxes</t>
        </is>
      </c>
    </row>
    <row r="93">
      <c r="A93" t="inlineStr">
        <is>
          <t>sbx_n</t>
        </is>
      </c>
      <c r="B93" t="inlineStr">
        <is>
          <t>Sandboxes activos</t>
        </is>
      </c>
      <c r="C93" s="2" t="n">
        <v>5</v>
      </c>
      <c r="D93" t="inlineStr">
        <is>
          <t>cuentas</t>
        </is>
      </c>
      <c r="E93" t="inlineStr">
        <is>
          <t>sí</t>
        </is>
      </c>
      <c r="F93" t="inlineStr">
        <is>
          <t>Innovation Sandbox</t>
        </is>
      </c>
    </row>
    <row r="94">
      <c r="A94" t="inlineStr">
        <is>
          <t>sbx_tope</t>
        </is>
      </c>
      <c r="B94" t="inlineStr">
        <is>
          <t>Tope de costo por sandbox al mes</t>
        </is>
      </c>
      <c r="C94" s="3" t="n">
        <v>100</v>
      </c>
      <c r="D94" t="inlineStr">
        <is>
          <t>USD</t>
        </is>
      </c>
      <c r="E94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16" customWidth="1" min="4" max="4"/>
    <col width="14" customWidth="1" min="5" max="5"/>
    <col width="20" customWidth="1" min="6" max="6"/>
    <col width="20" customWidth="1" min="7" max="7"/>
    <col width="15" customWidth="1" min="8" max="8"/>
    <col width="10" customWidth="1" min="9" max="9"/>
  </cols>
  <sheetData>
    <row r="1">
      <c r="A1" s="1" t="inlineStr">
        <is>
          <t>Categoría</t>
        </is>
      </c>
      <c r="B1" s="1" t="inlineStr">
        <is>
          <t>Servicio</t>
        </is>
      </c>
      <c r="C1" s="1" t="inlineStr">
        <is>
          <t>Descripción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Precio unitario (USD)</t>
        </is>
      </c>
      <c r="G1" s="1" t="inlineStr">
        <is>
          <t>Costo mensual (USD)</t>
        </is>
      </c>
      <c r="H1" s="1" t="inlineStr">
        <is>
          <t>En calculadora</t>
        </is>
      </c>
      <c r="I1" s="1" t="inlineStr">
        <is>
          <t>ADR</t>
        </is>
      </c>
    </row>
    <row r="2">
      <c r="A2" t="inlineStr">
        <is>
          <t>Cómputo</t>
        </is>
      </c>
      <c r="B2" t="inlineStr">
        <is>
          <t>ECS Fargate (ARM)</t>
        </is>
      </c>
      <c r="C2" t="inlineStr">
        <is>
          <t>vCPU-hora</t>
        </is>
      </c>
      <c r="D2" s="2">
        <f>Supuestos!$C$11*Supuestos!$C$12*Supuestos!$C$3*Supuestos!$C$7</f>
        <v/>
      </c>
      <c r="E2" t="inlineStr">
        <is>
          <t>vCPU-h</t>
        </is>
      </c>
      <c r="F2" s="3">
        <f>Supuestos!$C$14</f>
        <v/>
      </c>
      <c r="G2" s="4">
        <f>D2*F2</f>
        <v/>
      </c>
      <c r="H2" t="inlineStr">
        <is>
          <t>Sí</t>
        </is>
      </c>
      <c r="I2" t="inlineStr">
        <is>
          <t>ADR-013</t>
        </is>
      </c>
    </row>
    <row r="3">
      <c r="A3" t="inlineStr">
        <is>
          <t>Cómputo</t>
        </is>
      </c>
      <c r="B3" t="inlineStr">
        <is>
          <t>ECS Fargate (ARM)</t>
        </is>
      </c>
      <c r="C3" t="inlineStr">
        <is>
          <t>GB-hora</t>
        </is>
      </c>
      <c r="D3" s="2">
        <f>Supuestos!$C$11*Supuestos!$C$13*Supuestos!$C$3*Supuestos!$C$7</f>
        <v/>
      </c>
      <c r="E3" t="inlineStr">
        <is>
          <t>GB-h</t>
        </is>
      </c>
      <c r="F3" s="3">
        <f>Supuestos!$C$15</f>
        <v/>
      </c>
      <c r="G3" s="4">
        <f>D3*F3</f>
        <v/>
      </c>
      <c r="H3" t="inlineStr">
        <is>
          <t>Sí</t>
        </is>
      </c>
      <c r="I3" t="inlineStr">
        <is>
          <t>ADR-013</t>
        </is>
      </c>
    </row>
    <row r="4">
      <c r="A4" t="inlineStr">
        <is>
          <t>Cómputo</t>
        </is>
      </c>
      <c r="B4" t="inlineStr">
        <is>
          <t>EC2 c9g.large (Nitro Enclaves)</t>
        </is>
      </c>
      <c r="C4" t="inlineStr">
        <is>
          <t>Servicio de firma</t>
        </is>
      </c>
      <c r="D4" s="2">
        <f>Supuestos!$C$16*Supuestos!$C$3</f>
        <v/>
      </c>
      <c r="E4" t="inlineStr">
        <is>
          <t>instancia-h</t>
        </is>
      </c>
      <c r="F4" s="3">
        <f>Supuestos!$C$17</f>
        <v/>
      </c>
      <c r="G4" s="4">
        <f>D4*F4</f>
        <v/>
      </c>
      <c r="H4" t="inlineStr">
        <is>
          <t>Sí</t>
        </is>
      </c>
      <c r="I4" t="inlineStr">
        <is>
          <t>ADR-021</t>
        </is>
      </c>
    </row>
    <row r="5">
      <c r="A5" t="inlineStr">
        <is>
          <t>Red</t>
        </is>
      </c>
      <c r="B5" t="inlineStr">
        <is>
          <t>ALB</t>
        </is>
      </c>
      <c r="C5" t="inlineStr">
        <is>
          <t>Horas</t>
        </is>
      </c>
      <c r="D5" s="2">
        <f>Supuestos!$C$19*Supuestos!$C$3</f>
        <v/>
      </c>
      <c r="E5" t="inlineStr">
        <is>
          <t>ALB-h</t>
        </is>
      </c>
      <c r="F5" s="3">
        <f>Supuestos!$C$20</f>
        <v/>
      </c>
      <c r="G5" s="4">
        <f>D5*F5</f>
        <v/>
      </c>
      <c r="H5" t="inlineStr">
        <is>
          <t>Sí</t>
        </is>
      </c>
      <c r="I5" t="inlineStr">
        <is>
          <t>ADR-018</t>
        </is>
      </c>
    </row>
    <row r="6">
      <c r="A6" t="inlineStr">
        <is>
          <t>Red</t>
        </is>
      </c>
      <c r="B6" t="inlineStr">
        <is>
          <t>ALB</t>
        </is>
      </c>
      <c r="C6" t="inlineStr">
        <is>
          <t>LCU</t>
        </is>
      </c>
      <c r="D6" s="2">
        <f>Supuestos!$C$21*Supuestos!$C$3*Supuestos!$C$7</f>
        <v/>
      </c>
      <c r="E6" t="inlineStr">
        <is>
          <t>LCU-h</t>
        </is>
      </c>
      <c r="F6" s="3">
        <f>Supuestos!$C$22</f>
        <v/>
      </c>
      <c r="G6" s="4">
        <f>D6*F6</f>
        <v/>
      </c>
      <c r="H6" t="inlineStr">
        <is>
          <t>Sí</t>
        </is>
      </c>
      <c r="I6" t="inlineStr">
        <is>
          <t>ADR-018</t>
        </is>
      </c>
    </row>
    <row r="7">
      <c r="A7" t="inlineStr">
        <is>
          <t>Red</t>
        </is>
      </c>
      <c r="B7" t="inlineStr">
        <is>
          <t>CloudFront</t>
        </is>
      </c>
      <c r="C7" t="inlineStr">
        <is>
          <t>Transferencia a internet</t>
        </is>
      </c>
      <c r="D7" s="2">
        <f>Supuestos!$C$23*Supuestos!$C$7</f>
        <v/>
      </c>
      <c r="E7" t="inlineStr">
        <is>
          <t>GB</t>
        </is>
      </c>
      <c r="F7" s="3">
        <f>Supuestos!$C$24</f>
        <v/>
      </c>
      <c r="G7" s="4">
        <f>D7*F7</f>
        <v/>
      </c>
      <c r="H7" t="inlineStr">
        <is>
          <t>Sí</t>
        </is>
      </c>
      <c r="I7" t="inlineStr">
        <is>
          <t>ADR-018</t>
        </is>
      </c>
    </row>
    <row r="8">
      <c r="A8" t="inlineStr">
        <is>
          <t>Red</t>
        </is>
      </c>
      <c r="B8" t="inlineStr">
        <is>
          <t>CloudFront</t>
        </is>
      </c>
      <c r="C8" t="inlineStr">
        <is>
          <t>Solicitudes HTTPS</t>
        </is>
      </c>
      <c r="D8" s="2">
        <f>Supuestos!$C$9/1000000</f>
        <v/>
      </c>
      <c r="E8" t="inlineStr">
        <is>
          <t>millones</t>
        </is>
      </c>
      <c r="F8" s="3">
        <f>Supuestos!$C$25</f>
        <v/>
      </c>
      <c r="G8" s="4">
        <f>D8*F8</f>
        <v/>
      </c>
      <c r="H8" t="inlineStr">
        <is>
          <t>Sí</t>
        </is>
      </c>
      <c r="I8" t="inlineStr">
        <is>
          <t>ADR-018</t>
        </is>
      </c>
    </row>
    <row r="9">
      <c r="A9" t="inlineStr">
        <is>
          <t>Red</t>
        </is>
      </c>
      <c r="B9" t="inlineStr">
        <is>
          <t>AWS WAF</t>
        </is>
      </c>
      <c r="C9" t="inlineStr">
        <is>
          <t>Web ACL y reglas</t>
        </is>
      </c>
      <c r="D9" s="2">
        <f>1</f>
        <v/>
      </c>
      <c r="E9" t="inlineStr">
        <is>
          <t>ACL</t>
        </is>
      </c>
      <c r="F9" s="3">
        <f>Supuestos!$C$27+Supuestos!$C$26*Supuestos!$C$28</f>
        <v/>
      </c>
      <c r="G9" s="4">
        <f>D9*F9</f>
        <v/>
      </c>
      <c r="H9" t="inlineStr">
        <is>
          <t>Sí</t>
        </is>
      </c>
      <c r="I9" t="inlineStr">
        <is>
          <t>ADR-018</t>
        </is>
      </c>
    </row>
    <row r="10">
      <c r="A10" t="inlineStr">
        <is>
          <t>Red</t>
        </is>
      </c>
      <c r="B10" t="inlineStr">
        <is>
          <t>AWS WAF</t>
        </is>
      </c>
      <c r="C10" t="inlineStr">
        <is>
          <t>Solicitudes</t>
        </is>
      </c>
      <c r="D10" s="2">
        <f>Supuestos!$C$9/1000000</f>
        <v/>
      </c>
      <c r="E10" t="inlineStr">
        <is>
          <t>millones</t>
        </is>
      </c>
      <c r="F10" s="3">
        <f>Supuestos!$C$29</f>
        <v/>
      </c>
      <c r="G10" s="4">
        <f>D10*F10</f>
        <v/>
      </c>
      <c r="H10" t="inlineStr">
        <is>
          <t>Sí</t>
        </is>
      </c>
      <c r="I10" t="inlineStr">
        <is>
          <t>ADR-018</t>
        </is>
      </c>
    </row>
    <row r="11">
      <c r="A11" t="inlineStr">
        <is>
          <t>Red</t>
        </is>
      </c>
      <c r="B11" t="inlineStr">
        <is>
          <t>NAT Gateway</t>
        </is>
      </c>
      <c r="C11" t="inlineStr">
        <is>
          <t>Horas</t>
        </is>
      </c>
      <c r="D11" s="2">
        <f>Supuestos!$C$30*Supuestos!$C$3</f>
        <v/>
      </c>
      <c r="E11" t="inlineStr">
        <is>
          <t>NAT-h</t>
        </is>
      </c>
      <c r="F11" s="3">
        <f>Supuestos!$C$31</f>
        <v/>
      </c>
      <c r="G11" s="4">
        <f>D11*F11</f>
        <v/>
      </c>
      <c r="H11" t="inlineStr">
        <is>
          <t>Sí</t>
        </is>
      </c>
      <c r="I11" t="inlineStr">
        <is>
          <t>ADR-020</t>
        </is>
      </c>
    </row>
    <row r="12">
      <c r="A12" t="inlineStr">
        <is>
          <t>Red</t>
        </is>
      </c>
      <c r="B12" t="inlineStr">
        <is>
          <t>NAT Gateway</t>
        </is>
      </c>
      <c r="C12" t="inlineStr">
        <is>
          <t>GB procesados</t>
        </is>
      </c>
      <c r="D12" s="2">
        <f>Supuestos!$C$32*Supuestos!$C$7</f>
        <v/>
      </c>
      <c r="E12" t="inlineStr">
        <is>
          <t>GB</t>
        </is>
      </c>
      <c r="F12" s="3">
        <f>Supuestos!$C$33</f>
        <v/>
      </c>
      <c r="G12" s="4">
        <f>D12*F12</f>
        <v/>
      </c>
      <c r="H12" t="inlineStr">
        <is>
          <t>Sí</t>
        </is>
      </c>
      <c r="I12" t="inlineStr">
        <is>
          <t>ADR-020</t>
        </is>
      </c>
    </row>
    <row r="13">
      <c r="A13" t="inlineStr">
        <is>
          <t>Red</t>
        </is>
      </c>
      <c r="B13" t="inlineStr">
        <is>
          <t>VPC Lattice</t>
        </is>
      </c>
      <c r="C13" t="inlineStr">
        <is>
          <t>Servicio-hora</t>
        </is>
      </c>
      <c r="D13" s="2">
        <f>Supuestos!$C$34*Supuestos!$C$3</f>
        <v/>
      </c>
      <c r="E13" t="inlineStr">
        <is>
          <t>servicio-h</t>
        </is>
      </c>
      <c r="F13" s="3">
        <f>Supuestos!$C$35</f>
        <v/>
      </c>
      <c r="G13" s="4">
        <f>D13*F13</f>
        <v/>
      </c>
      <c r="H13" t="inlineStr">
        <is>
          <t>Verificar</t>
        </is>
      </c>
      <c r="I13" t="inlineStr">
        <is>
          <t>ADR-017</t>
        </is>
      </c>
    </row>
    <row r="14">
      <c r="A14" t="inlineStr">
        <is>
          <t>Red</t>
        </is>
      </c>
      <c r="B14" t="inlineStr">
        <is>
          <t>VPC Lattice</t>
        </is>
      </c>
      <c r="C14" t="inlineStr">
        <is>
          <t>GB procesados</t>
        </is>
      </c>
      <c r="D14" s="2">
        <f>Supuestos!$C$36*Supuestos!$C$7</f>
        <v/>
      </c>
      <c r="E14" t="inlineStr">
        <is>
          <t>GB</t>
        </is>
      </c>
      <c r="F14" s="3">
        <f>Supuestos!$C$37</f>
        <v/>
      </c>
      <c r="G14" s="4">
        <f>D14*F14</f>
        <v/>
      </c>
      <c r="H14" t="inlineStr">
        <is>
          <t>Verificar</t>
        </is>
      </c>
      <c r="I14" t="inlineStr">
        <is>
          <t>ADR-017</t>
        </is>
      </c>
    </row>
    <row r="15">
      <c r="A15" t="inlineStr">
        <is>
          <t>Red</t>
        </is>
      </c>
      <c r="B15" t="inlineStr">
        <is>
          <t>VPC Lattice</t>
        </is>
      </c>
      <c r="C15" t="inlineStr">
        <is>
          <t>Solicitudes</t>
        </is>
      </c>
      <c r="D15" s="2">
        <f>Supuestos!$C$9/1000000</f>
        <v/>
      </c>
      <c r="E15" t="inlineStr">
        <is>
          <t>millones</t>
        </is>
      </c>
      <c r="F15" s="3">
        <f>Supuestos!$C$38</f>
        <v/>
      </c>
      <c r="G15" s="4">
        <f>D15*F15</f>
        <v/>
      </c>
      <c r="H15" t="inlineStr">
        <is>
          <t>Verificar</t>
        </is>
      </c>
      <c r="I15" t="inlineStr">
        <is>
          <t>ADR-017</t>
        </is>
      </c>
    </row>
    <row r="16">
      <c r="A16" t="inlineStr">
        <is>
          <t>Red</t>
        </is>
      </c>
      <c r="B16" t="inlineStr">
        <is>
          <t>AWS Client VPN</t>
        </is>
      </c>
      <c r="C16" t="inlineStr">
        <is>
          <t>Asociaciones de subred</t>
        </is>
      </c>
      <c r="D16" s="2">
        <f>Supuestos!$C$39*Supuestos!$C$3</f>
        <v/>
      </c>
      <c r="E16" t="inlineStr">
        <is>
          <t>asociación-h</t>
        </is>
      </c>
      <c r="F16" s="3">
        <f>Supuestos!$C$40</f>
        <v/>
      </c>
      <c r="G16" s="4">
        <f>D16*F16</f>
        <v/>
      </c>
      <c r="H16" t="inlineStr">
        <is>
          <t>Sí</t>
        </is>
      </c>
      <c r="I16" t="inlineStr">
        <is>
          <t>ADR-019</t>
        </is>
      </c>
    </row>
    <row r="17">
      <c r="A17" t="inlineStr">
        <is>
          <t>Red</t>
        </is>
      </c>
      <c r="B17" t="inlineStr">
        <is>
          <t>AWS Client VPN</t>
        </is>
      </c>
      <c r="C17" t="inlineStr">
        <is>
          <t>Conexiones</t>
        </is>
      </c>
      <c r="D17" s="2">
        <f>Supuestos!$C$41</f>
        <v/>
      </c>
      <c r="E17" t="inlineStr">
        <is>
          <t>conexión-h</t>
        </is>
      </c>
      <c r="F17" s="3">
        <f>Supuestos!$C$42</f>
        <v/>
      </c>
      <c r="G17" s="4">
        <f>D17*F17</f>
        <v/>
      </c>
      <c r="H17" t="inlineStr">
        <is>
          <t>Sí</t>
        </is>
      </c>
      <c r="I17" t="inlineStr">
        <is>
          <t>ADR-019</t>
        </is>
      </c>
    </row>
    <row r="18">
      <c r="A18" t="inlineStr">
        <is>
          <t>Datos</t>
        </is>
      </c>
      <c r="B18" t="inlineStr">
        <is>
          <t>RDS PostgreSQL</t>
        </is>
      </c>
      <c r="C18" t="inlineStr">
        <is>
          <t>Instancias grandes Single-AZ</t>
        </is>
      </c>
      <c r="D18" s="2">
        <f>Supuestos!$C$44*Supuestos!$C$3</f>
        <v/>
      </c>
      <c r="E18" t="inlineStr">
        <is>
          <t>instancia-h</t>
        </is>
      </c>
      <c r="F18" s="3">
        <f>Supuestos!$C$45</f>
        <v/>
      </c>
      <c r="G18" s="4">
        <f>D18*F18</f>
        <v/>
      </c>
      <c r="H18" t="inlineStr">
        <is>
          <t>Sí</t>
        </is>
      </c>
      <c r="I18" t="inlineStr">
        <is>
          <t>ADR-014</t>
        </is>
      </c>
    </row>
    <row r="19">
      <c r="A19" t="inlineStr">
        <is>
          <t>Datos</t>
        </is>
      </c>
      <c r="B19" t="inlineStr">
        <is>
          <t>RDS PostgreSQL</t>
        </is>
      </c>
      <c r="C19" t="inlineStr">
        <is>
          <t>Almacenamiento gp3</t>
        </is>
      </c>
      <c r="D19" s="2">
        <f>Supuestos!$C$46</f>
        <v/>
      </c>
      <c r="E19" t="inlineStr">
        <is>
          <t>GB-mes</t>
        </is>
      </c>
      <c r="F19" s="3">
        <f>Supuestos!$C$47</f>
        <v/>
      </c>
      <c r="G19" s="4">
        <f>D19*F19</f>
        <v/>
      </c>
      <c r="H19" t="inlineStr">
        <is>
          <t>Sí</t>
        </is>
      </c>
      <c r="I19" t="inlineStr">
        <is>
          <t>ADR-014</t>
        </is>
      </c>
    </row>
    <row r="20">
      <c r="A20" t="inlineStr">
        <is>
          <t>Datos</t>
        </is>
      </c>
      <c r="B20" t="inlineStr">
        <is>
          <t>OpenSearch Serverless NextGen</t>
        </is>
      </c>
      <c r="C20" t="inlineStr">
        <is>
          <t>Cómputo (OCU)</t>
        </is>
      </c>
      <c r="D20" s="2">
        <f>Supuestos!$C$48*Supuestos!$C$3</f>
        <v/>
      </c>
      <c r="E20" t="inlineStr">
        <is>
          <t>OCU-h</t>
        </is>
      </c>
      <c r="F20" s="3">
        <f>Supuestos!$C$49</f>
        <v/>
      </c>
      <c r="G20" s="4">
        <f>D20*F20</f>
        <v/>
      </c>
      <c r="H20" t="inlineStr">
        <is>
          <t>No</t>
        </is>
      </c>
      <c r="I20" t="inlineStr">
        <is>
          <t>ADR-015</t>
        </is>
      </c>
    </row>
    <row r="21">
      <c r="A21" t="inlineStr">
        <is>
          <t>Datos</t>
        </is>
      </c>
      <c r="B21" t="inlineStr">
        <is>
          <t>OpenSearch Serverless NextGen</t>
        </is>
      </c>
      <c r="C21" t="inlineStr">
        <is>
          <t>Almacenamiento</t>
        </is>
      </c>
      <c r="D21" s="2">
        <f>Supuestos!$C$50</f>
        <v/>
      </c>
      <c r="E21" t="inlineStr">
        <is>
          <t>GB-mes</t>
        </is>
      </c>
      <c r="F21" s="3">
        <f>Supuestos!$C$51</f>
        <v/>
      </c>
      <c r="G21" s="4">
        <f>D21*F21</f>
        <v/>
      </c>
      <c r="H21" t="inlineStr">
        <is>
          <t>No</t>
        </is>
      </c>
      <c r="I21" t="inlineStr">
        <is>
          <t>ADR-015</t>
        </is>
      </c>
    </row>
    <row r="22">
      <c r="A22" t="inlineStr">
        <is>
          <t>Llaves y secretos</t>
        </is>
      </c>
      <c r="B22" t="inlineStr">
        <is>
          <t>DynamoDB</t>
        </is>
      </c>
      <c r="C22" t="inlineStr">
        <is>
          <t>Lecturas de llaves cifradas (una por firma)</t>
        </is>
      </c>
      <c r="D22" s="2">
        <f>Supuestos!$C$53/1000000</f>
        <v/>
      </c>
      <c r="E22" t="inlineStr">
        <is>
          <t>millones</t>
        </is>
      </c>
      <c r="F22" s="3">
        <f>Supuestos!$C$54</f>
        <v/>
      </c>
      <c r="G22" s="4">
        <f>D22*F22</f>
        <v/>
      </c>
      <c r="H22" t="inlineStr">
        <is>
          <t>Sí</t>
        </is>
      </c>
      <c r="I22" t="inlineStr">
        <is>
          <t>ADR-021</t>
        </is>
      </c>
    </row>
    <row r="23">
      <c r="A23" t="inlineStr">
        <is>
          <t>Llaves y secretos</t>
        </is>
      </c>
      <c r="B23" t="inlineStr">
        <is>
          <t>DynamoDB</t>
        </is>
      </c>
      <c r="C23" t="inlineStr">
        <is>
          <t>Escrituras y réplica global</t>
        </is>
      </c>
      <c r="D23" s="2">
        <f>Supuestos!$C$55/1000000</f>
        <v/>
      </c>
      <c r="E23" t="inlineStr">
        <is>
          <t>millones</t>
        </is>
      </c>
      <c r="F23" s="3">
        <f>Supuestos!$C$56</f>
        <v/>
      </c>
      <c r="G23" s="4">
        <f>D23*F23</f>
        <v/>
      </c>
      <c r="H23" t="inlineStr">
        <is>
          <t>Sí</t>
        </is>
      </c>
      <c r="I23" t="inlineStr">
        <is>
          <t>ADR-021</t>
        </is>
      </c>
    </row>
    <row r="24">
      <c r="A24" t="inlineStr">
        <is>
          <t>Llaves y secretos</t>
        </is>
      </c>
      <c r="B24" t="inlineStr">
        <is>
          <t>DynamoDB</t>
        </is>
      </c>
      <c r="C24" t="inlineStr">
        <is>
          <t>Almacenamiento</t>
        </is>
      </c>
      <c r="D24" s="2">
        <f>Supuestos!$C$57</f>
        <v/>
      </c>
      <c r="E24" t="inlineStr">
        <is>
          <t>GB-mes</t>
        </is>
      </c>
      <c r="F24" s="3">
        <f>Supuestos!$C$58</f>
        <v/>
      </c>
      <c r="G24" s="4">
        <f>D24*F24</f>
        <v/>
      </c>
      <c r="H24" t="inlineStr">
        <is>
          <t>Sí</t>
        </is>
      </c>
      <c r="I24" t="inlineStr">
        <is>
          <t>ADR-021</t>
        </is>
      </c>
    </row>
    <row r="25">
      <c r="A25" t="inlineStr">
        <is>
          <t>Llaves y secretos</t>
        </is>
      </c>
      <c r="B25" t="inlineStr">
        <is>
          <t>AWS KMS</t>
        </is>
      </c>
      <c r="C25" t="inlineStr">
        <is>
          <t>Llaves</t>
        </is>
      </c>
      <c r="D25" s="2">
        <f>Supuestos!$C$59</f>
        <v/>
      </c>
      <c r="E25" t="inlineStr">
        <is>
          <t>llaves</t>
        </is>
      </c>
      <c r="F25" s="3">
        <f>Supuestos!$C$60</f>
        <v/>
      </c>
      <c r="G25" s="4">
        <f>D25*F25</f>
        <v/>
      </c>
      <c r="H25" t="inlineStr">
        <is>
          <t>Sí</t>
        </is>
      </c>
      <c r="I25" t="inlineStr">
        <is>
          <t>ADR-021</t>
        </is>
      </c>
    </row>
    <row r="26">
      <c r="A26" t="inlineStr">
        <is>
          <t>Llaves y secretos</t>
        </is>
      </c>
      <c r="B26" t="inlineStr">
        <is>
          <t>AWS KMS</t>
        </is>
      </c>
      <c r="C26" t="inlineStr">
        <is>
          <t>Solicitudes</t>
        </is>
      </c>
      <c r="D26" s="2">
        <f>Supuestos!$C$61/10000</f>
        <v/>
      </c>
      <c r="E26" t="inlineStr">
        <is>
          <t>10 mil</t>
        </is>
      </c>
      <c r="F26" s="3">
        <f>Supuestos!$C$62</f>
        <v/>
      </c>
      <c r="G26" s="4">
        <f>D26*F26</f>
        <v/>
      </c>
      <c r="H26" t="inlineStr">
        <is>
          <t>Sí</t>
        </is>
      </c>
      <c r="I26" t="inlineStr">
        <is>
          <t>ADR-021</t>
        </is>
      </c>
    </row>
    <row r="27">
      <c r="A27" t="inlineStr">
        <is>
          <t>Llaves y secretos</t>
        </is>
      </c>
      <c r="B27" t="inlineStr">
        <is>
          <t>Secrets Manager</t>
        </is>
      </c>
      <c r="C27" t="inlineStr">
        <is>
          <t>Secretos</t>
        </is>
      </c>
      <c r="D27" s="2">
        <f>Supuestos!$C$63</f>
        <v/>
      </c>
      <c r="E27" t="inlineStr">
        <is>
          <t>secretos</t>
        </is>
      </c>
      <c r="F27" s="3">
        <f>Supuestos!$C$64</f>
        <v/>
      </c>
      <c r="G27" s="4">
        <f>D27*F27</f>
        <v/>
      </c>
      <c r="H27" t="inlineStr">
        <is>
          <t>Sí</t>
        </is>
      </c>
      <c r="I27" t="inlineStr">
        <is>
          <t>ADR-024</t>
        </is>
      </c>
    </row>
    <row r="28">
      <c r="A28" t="inlineStr">
        <is>
          <t>Observabilidad</t>
        </is>
      </c>
      <c r="B28" t="inlineStr">
        <is>
          <t>CloudWatch Logs</t>
        </is>
      </c>
      <c r="C28" t="inlineStr">
        <is>
          <t>Ingesta</t>
        </is>
      </c>
      <c r="D28" s="2">
        <f>Supuestos!$C$66*Supuestos!$C$7</f>
        <v/>
      </c>
      <c r="E28" t="inlineStr">
        <is>
          <t>GB</t>
        </is>
      </c>
      <c r="F28" s="3">
        <f>Supuestos!$C$67</f>
        <v/>
      </c>
      <c r="G28" s="4">
        <f>D28*F28</f>
        <v/>
      </c>
      <c r="H28" t="inlineStr">
        <is>
          <t>Sí</t>
        </is>
      </c>
      <c r="I28" t="inlineStr">
        <is>
          <t>ADR-028</t>
        </is>
      </c>
    </row>
    <row r="29">
      <c r="A29" t="inlineStr">
        <is>
          <t>Observabilidad</t>
        </is>
      </c>
      <c r="B29" t="inlineStr">
        <is>
          <t>CloudWatch Logs</t>
        </is>
      </c>
      <c r="C29" t="inlineStr">
        <is>
          <t>Almacenamiento con retención</t>
        </is>
      </c>
      <c r="D29" s="2">
        <f>Supuestos!$C$68</f>
        <v/>
      </c>
      <c r="E29" t="inlineStr">
        <is>
          <t>GB-mes</t>
        </is>
      </c>
      <c r="F29" s="3">
        <f>Supuestos!$C$69</f>
        <v/>
      </c>
      <c r="G29" s="4">
        <f>D29*F29</f>
        <v/>
      </c>
      <c r="H29" t="inlineStr">
        <is>
          <t>Sí</t>
        </is>
      </c>
      <c r="I29" t="inlineStr">
        <is>
          <t>ADR-028</t>
        </is>
      </c>
    </row>
    <row r="30">
      <c r="A30" t="inlineStr">
        <is>
          <t>Observabilidad</t>
        </is>
      </c>
      <c r="B30" t="inlineStr">
        <is>
          <t>S3</t>
        </is>
      </c>
      <c r="C30" t="inlineStr">
        <is>
          <t>Archivo de logs</t>
        </is>
      </c>
      <c r="D30" s="2">
        <f>Supuestos!$C$70</f>
        <v/>
      </c>
      <c r="E30" t="inlineStr">
        <is>
          <t>GB-mes</t>
        </is>
      </c>
      <c r="F30" s="3">
        <f>Supuestos!$C$71</f>
        <v/>
      </c>
      <c r="G30" s="4">
        <f>D30*F30</f>
        <v/>
      </c>
      <c r="H30" t="inlineStr">
        <is>
          <t>Sí</t>
        </is>
      </c>
      <c r="I30" t="inlineStr">
        <is>
          <t>ADR-028</t>
        </is>
      </c>
    </row>
    <row r="31">
      <c r="A31" t="inlineStr">
        <is>
          <t>Observabilidad</t>
        </is>
      </c>
      <c r="B31" t="inlineStr">
        <is>
          <t>Athena</t>
        </is>
      </c>
      <c r="C31" t="inlineStr">
        <is>
          <t>Consultas sobre logs archivados</t>
        </is>
      </c>
      <c r="D31" s="2">
        <f>Supuestos!$C$72</f>
        <v/>
      </c>
      <c r="E31" t="inlineStr">
        <is>
          <t>TB</t>
        </is>
      </c>
      <c r="F31" s="3">
        <f>Supuestos!$C$73</f>
        <v/>
      </c>
      <c r="G31" s="4">
        <f>D31*F31</f>
        <v/>
      </c>
      <c r="H31" t="inlineStr">
        <is>
          <t>Sí</t>
        </is>
      </c>
      <c r="I31" t="inlineStr">
        <is>
          <t>ADR-028</t>
        </is>
      </c>
    </row>
    <row r="32">
      <c r="A32" t="inlineStr">
        <is>
          <t>Observabilidad</t>
        </is>
      </c>
      <c r="B32" t="inlineStr">
        <is>
          <t>CloudWatch Omni</t>
        </is>
      </c>
      <c r="C32" t="inlineStr">
        <is>
          <t>Evaluación</t>
        </is>
      </c>
      <c r="D32" s="2">
        <f>1</f>
        <v/>
      </c>
      <c r="E32" t="inlineStr">
        <is>
          <t>mes</t>
        </is>
      </c>
      <c r="F32" s="3">
        <f>Supuestos!$C$74</f>
        <v/>
      </c>
      <c r="G32" s="4">
        <f>D32*F32</f>
        <v/>
      </c>
      <c r="H32" t="inlineStr">
        <is>
          <t>No</t>
        </is>
      </c>
      <c r="I32" t="inlineStr">
        <is>
          <t>ADR-027</t>
        </is>
      </c>
    </row>
    <row r="33">
      <c r="A33" t="inlineStr">
        <is>
          <t>Gobierno</t>
        </is>
      </c>
      <c r="B33" t="inlineStr">
        <is>
          <t>AWS Config</t>
        </is>
      </c>
      <c r="C33" t="inlineStr">
        <is>
          <t>Elementos de configuración</t>
        </is>
      </c>
      <c r="D33" s="2">
        <f>Supuestos!$C$76</f>
        <v/>
      </c>
      <c r="E33" t="inlineStr">
        <is>
          <t>elementos</t>
        </is>
      </c>
      <c r="F33" s="3">
        <f>Supuestos!$C$77</f>
        <v/>
      </c>
      <c r="G33" s="4">
        <f>D33*F33</f>
        <v/>
      </c>
      <c r="H33" t="inlineStr">
        <is>
          <t>Sí</t>
        </is>
      </c>
      <c r="I33" t="inlineStr">
        <is>
          <t>ADR-030</t>
        </is>
      </c>
    </row>
    <row r="34">
      <c r="A34" t="inlineStr">
        <is>
          <t>Gobierno</t>
        </is>
      </c>
      <c r="B34" t="inlineStr">
        <is>
          <t>Security Hub</t>
        </is>
      </c>
      <c r="C34" t="inlineStr">
        <is>
          <t>Verificaciones</t>
        </is>
      </c>
      <c r="D34" s="2">
        <f>Supuestos!$C$78</f>
        <v/>
      </c>
      <c r="E34" t="inlineStr">
        <is>
          <t>verificaciones</t>
        </is>
      </c>
      <c r="F34" s="3">
        <f>Supuestos!$C$79</f>
        <v/>
      </c>
      <c r="G34" s="4">
        <f>D34*F34</f>
        <v/>
      </c>
      <c r="H34" t="inlineStr">
        <is>
          <t>Sí</t>
        </is>
      </c>
      <c r="I34" t="inlineStr">
        <is>
          <t>ADR-030</t>
        </is>
      </c>
    </row>
    <row r="35">
      <c r="A35" t="inlineStr">
        <is>
          <t>Gobierno</t>
        </is>
      </c>
      <c r="B35" t="inlineStr">
        <is>
          <t>CloudTrail</t>
        </is>
      </c>
      <c r="C35" t="inlineStr">
        <is>
          <t>Eventos de datos</t>
        </is>
      </c>
      <c r="D35" s="2">
        <f>Supuestos!$C$80</f>
        <v/>
      </c>
      <c r="E35" t="inlineStr">
        <is>
          <t>millones</t>
        </is>
      </c>
      <c r="F35" s="3">
        <f>Supuestos!$C$81</f>
        <v/>
      </c>
      <c r="G35" s="4">
        <f>D35*F35</f>
        <v/>
      </c>
      <c r="H35" t="inlineStr">
        <is>
          <t>Sí</t>
        </is>
      </c>
      <c r="I35" t="inlineStr">
        <is>
          <t>ADR-030</t>
        </is>
      </c>
    </row>
    <row r="36">
      <c r="A36" t="inlineStr">
        <is>
          <t>CI/CD</t>
        </is>
      </c>
      <c r="B36" t="inlineStr">
        <is>
          <t>CodePipeline V2</t>
        </is>
      </c>
      <c r="C36" t="inlineStr">
        <is>
          <t>Minutos de acciones</t>
        </is>
      </c>
      <c r="D36" s="2">
        <f>Supuestos!$C$83</f>
        <v/>
      </c>
      <c r="E36" t="inlineStr">
        <is>
          <t>min</t>
        </is>
      </c>
      <c r="F36" s="3">
        <f>Supuestos!$C$84</f>
        <v/>
      </c>
      <c r="G36" s="4">
        <f>D36*F36</f>
        <v/>
      </c>
      <c r="H36" t="inlineStr">
        <is>
          <t>Sí</t>
        </is>
      </c>
      <c r="I36" t="inlineStr">
        <is>
          <t>ADR-025</t>
        </is>
      </c>
    </row>
    <row r="37">
      <c r="A37" t="inlineStr">
        <is>
          <t>CI/CD</t>
        </is>
      </c>
      <c r="B37" t="inlineStr">
        <is>
          <t>CodeBuild (ARM)</t>
        </is>
      </c>
      <c r="C37" t="inlineStr">
        <is>
          <t>Minutos de build</t>
        </is>
      </c>
      <c r="D37" s="2">
        <f>Supuestos!$C$85</f>
        <v/>
      </c>
      <c r="E37" t="inlineStr">
        <is>
          <t>min</t>
        </is>
      </c>
      <c r="F37" s="3">
        <f>Supuestos!$C$86</f>
        <v/>
      </c>
      <c r="G37" s="4">
        <f>D37*F37</f>
        <v/>
      </c>
      <c r="H37" t="inlineStr">
        <is>
          <t>Sí</t>
        </is>
      </c>
      <c r="I37" t="inlineStr">
        <is>
          <t>ADR-025</t>
        </is>
      </c>
    </row>
    <row r="38">
      <c r="A38" t="inlineStr">
        <is>
          <t>CI/CD</t>
        </is>
      </c>
      <c r="B38" t="inlineStr">
        <is>
          <t>ECR</t>
        </is>
      </c>
      <c r="C38" t="inlineStr">
        <is>
          <t>Almacenamiento con réplica</t>
        </is>
      </c>
      <c r="D38" s="2">
        <f>Supuestos!$C$87</f>
        <v/>
      </c>
      <c r="E38" t="inlineStr">
        <is>
          <t>GB-mes</t>
        </is>
      </c>
      <c r="F38" s="3">
        <f>Supuestos!$C$88</f>
        <v/>
      </c>
      <c r="G38" s="4">
        <f>D38*F38</f>
        <v/>
      </c>
      <c r="H38" t="inlineStr">
        <is>
          <t>Sí</t>
        </is>
      </c>
      <c r="I38" t="inlineStr">
        <is>
          <t>ADR-025</t>
        </is>
      </c>
    </row>
    <row r="39">
      <c r="A39" t="inlineStr">
        <is>
          <t>DR</t>
        </is>
      </c>
      <c r="B39" t="inlineStr">
        <is>
          <t>RDS PostgreSQL (región de DR)</t>
        </is>
      </c>
      <c r="C39" t="inlineStr">
        <is>
          <t>Réplicas entre regiones del mismo tamaño</t>
        </is>
      </c>
      <c r="D39" s="2">
        <f>Supuestos!$C$44*Supuestos!$C$3</f>
        <v/>
      </c>
      <c r="E39" t="inlineStr">
        <is>
          <t>instancia-h</t>
        </is>
      </c>
      <c r="F39" s="3">
        <f>Supuestos!$C$45</f>
        <v/>
      </c>
      <c r="G39" s="4">
        <f>D39*F39</f>
        <v/>
      </c>
      <c r="H39" t="inlineStr">
        <is>
          <t>Sí</t>
        </is>
      </c>
      <c r="I39" t="inlineStr">
        <is>
          <t>ADR-031</t>
        </is>
      </c>
    </row>
    <row r="40">
      <c r="A40" t="inlineStr">
        <is>
          <t>DR</t>
        </is>
      </c>
      <c r="B40" t="inlineStr">
        <is>
          <t>RDS PostgreSQL (región de DR)</t>
        </is>
      </c>
      <c r="C40" t="inlineStr">
        <is>
          <t>Almacenamiento de las réplicas</t>
        </is>
      </c>
      <c r="D40" s="2">
        <f>Supuestos!$C$46</f>
        <v/>
      </c>
      <c r="E40" t="inlineStr">
        <is>
          <t>GB-mes</t>
        </is>
      </c>
      <c r="F40" s="3">
        <f>Supuestos!$C$47</f>
        <v/>
      </c>
      <c r="G40" s="4">
        <f>D40*F40</f>
        <v/>
      </c>
      <c r="H40" t="inlineStr">
        <is>
          <t>Sí</t>
        </is>
      </c>
      <c r="I40" t="inlineStr">
        <is>
          <t>ADR-031</t>
        </is>
      </c>
    </row>
    <row r="41">
      <c r="A41" t="inlineStr">
        <is>
          <t>DR</t>
        </is>
      </c>
      <c r="B41" t="inlineStr">
        <is>
          <t>Transferencia entre regiones</t>
        </is>
      </c>
      <c r="C41" t="inlineStr">
        <is>
          <t>Replicación de RDS, DynamoDB y ECR</t>
        </is>
      </c>
      <c r="D41" s="2">
        <f>Supuestos!$C$90</f>
        <v/>
      </c>
      <c r="E41" t="inlineStr">
        <is>
          <t>GB</t>
        </is>
      </c>
      <c r="F41" s="3">
        <f>Supuestos!$C$91</f>
        <v/>
      </c>
      <c r="G41" s="4">
        <f>D41*F41</f>
        <v/>
      </c>
      <c r="H41" t="inlineStr">
        <is>
          <t>Sí</t>
        </is>
      </c>
      <c r="I41" t="inlineStr">
        <is>
          <t>ADR-031</t>
        </is>
      </c>
    </row>
    <row r="42">
      <c r="A42" t="inlineStr">
        <is>
          <t>Sandboxes</t>
        </is>
      </c>
      <c r="B42" t="inlineStr">
        <is>
          <t>Innovation Sandbox</t>
        </is>
      </c>
      <c r="C42" t="inlineStr">
        <is>
          <t>Tope de costo por sandbox</t>
        </is>
      </c>
      <c r="D42" s="2">
        <f>Supuestos!$C$93</f>
        <v/>
      </c>
      <c r="E42" t="inlineStr">
        <is>
          <t>cuentas</t>
        </is>
      </c>
      <c r="F42" s="3">
        <f>Supuestos!$C$94</f>
        <v/>
      </c>
      <c r="G42" s="4">
        <f>D42*F42</f>
        <v/>
      </c>
      <c r="H42" t="inlineStr">
        <is>
          <t>Sí</t>
        </is>
      </c>
      <c r="I42" t="inlineStr">
        <is>
          <t>ADR-005</t>
        </is>
      </c>
    </row>
    <row r="44">
      <c r="A44" s="1" t="inlineStr">
        <is>
          <t>Resumen</t>
        </is>
      </c>
      <c r="G44" t="inlineStr">
        <is>
          <t>USD / mes</t>
        </is>
      </c>
    </row>
    <row r="45">
      <c r="A45" t="inlineStr">
        <is>
          <t>Cómputo</t>
        </is>
      </c>
      <c r="G45" s="4">
        <f>SUMIFS(G2:G42,A2:A42,"Cómputo")</f>
        <v/>
      </c>
    </row>
    <row r="46">
      <c r="A46" t="inlineStr">
        <is>
          <t>Red</t>
        </is>
      </c>
      <c r="G46" s="4">
        <f>SUMIFS(G2:G42,A2:A42,"Red")</f>
        <v/>
      </c>
    </row>
    <row r="47">
      <c r="A47" t="inlineStr">
        <is>
          <t>Datos</t>
        </is>
      </c>
      <c r="G47" s="4">
        <f>SUMIFS(G2:G42,A2:A42,"Datos")</f>
        <v/>
      </c>
    </row>
    <row r="48">
      <c r="A48" t="inlineStr">
        <is>
          <t>Llaves y secretos</t>
        </is>
      </c>
      <c r="G48" s="4">
        <f>SUMIFS(G2:G42,A2:A42,"Llaves y secretos")</f>
        <v/>
      </c>
    </row>
    <row r="49">
      <c r="A49" t="inlineStr">
        <is>
          <t>Observabilidad</t>
        </is>
      </c>
      <c r="G49" s="4">
        <f>SUMIFS(G2:G42,A2:A42,"Observabilidad")</f>
        <v/>
      </c>
    </row>
    <row r="50">
      <c r="A50" t="inlineStr">
        <is>
          <t>Gobierno</t>
        </is>
      </c>
      <c r="G50" s="4">
        <f>SUMIFS(G2:G42,A2:A42,"Gobierno")</f>
        <v/>
      </c>
    </row>
    <row r="51">
      <c r="A51" t="inlineStr">
        <is>
          <t>CI/CD</t>
        </is>
      </c>
      <c r="G51" s="4">
        <f>SUMIFS(G2:G42,A2:A42,"CI/CD")</f>
        <v/>
      </c>
    </row>
    <row r="52">
      <c r="A52" t="inlineStr">
        <is>
          <t>DR</t>
        </is>
      </c>
      <c r="G52" s="4">
        <f>SUMIFS(G2:G42,A2:A42,"DR")</f>
        <v/>
      </c>
    </row>
    <row r="53">
      <c r="A53" t="inlineStr">
        <is>
          <t>Sandboxes</t>
        </is>
      </c>
      <c r="G53" s="4">
        <f>SUMIFS(G2:G42,A2:A42,"Sandboxes")</f>
        <v/>
      </c>
    </row>
    <row r="54">
      <c r="A54" t="inlineStr">
        <is>
          <t>Solo en este archivo (no en la calculadora)</t>
        </is>
      </c>
      <c r="G54" s="4">
        <f>SUMIFS(G2:G42,H2:H42,"No")</f>
        <v/>
      </c>
    </row>
    <row r="55">
      <c r="A55" s="1" t="inlineStr">
        <is>
          <t>Total mensual</t>
        </is>
      </c>
      <c r="G55" s="5">
        <f>SUM(G2:G42)</f>
        <v/>
      </c>
    </row>
    <row r="56">
      <c r="A56" t="inlineStr">
        <is>
          <t>Total anual</t>
        </is>
      </c>
      <c r="G56" s="4">
        <f>G55*12</f>
        <v/>
      </c>
    </row>
    <row r="58">
      <c r="A58" t="inlineStr">
        <is>
          <t>Bajo demanda, sin capa gratuita, todo como producción. Excluido: licencia de APM, plan de soporte de AWS, impuestos y costo del equipo.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22" customWidth="1" min="3" max="3"/>
    <col width="12" customWidth="1" min="4" max="4"/>
    <col width="20" customWidth="1" min="5" max="5"/>
    <col width="80" customWidth="1" min="6" max="6"/>
    <col width="12" customWidth="1" min="7" max="7"/>
  </cols>
  <sheetData>
    <row r="1">
      <c r="A1" s="1" t="inlineStr">
        <is>
          <t>Elegido</t>
        </is>
      </c>
      <c r="B1" s="1" t="inlineStr">
        <is>
          <t>Recorte</t>
        </is>
      </c>
      <c r="C1" s="1" t="inlineStr">
        <is>
          <t>Línea base (USD / mes)</t>
        </is>
      </c>
      <c r="D1" s="1" t="inlineStr">
        <is>
          <t>Reducción</t>
        </is>
      </c>
      <c r="E1" s="1" t="inlineStr">
        <is>
          <t>Ahorro (USD / mes)</t>
        </is>
      </c>
      <c r="F1" s="1" t="inlineStr">
        <is>
          <t>Riesgo que agrega</t>
        </is>
      </c>
      <c r="G1" s="1" t="inlineStr">
        <is>
          <t>ADR afectado</t>
        </is>
      </c>
    </row>
    <row r="2">
      <c r="A2" t="inlineStr">
        <is>
          <t>sí</t>
        </is>
      </c>
      <c r="B2" t="inlineStr">
        <is>
          <t>DR solo con copias de AWS Backup entre regiones, sin réplicas vivas</t>
        </is>
      </c>
      <c r="C2" s="4">
        <f>SUMIFS(Estimado!G2:G42,Estimado!A2:A42,"DR")</f>
        <v/>
      </c>
      <c r="D2" s="6" t="n">
        <v>0.85</v>
      </c>
      <c r="E2" s="4">
        <f>C2*D2</f>
        <v/>
      </c>
      <c r="F2" t="inlineStr">
        <is>
          <t>El RPO pasa de minutos a horas y el RTO crece por la restauración de las bases.</t>
        </is>
      </c>
      <c r="G2" t="inlineStr">
        <is>
          <t>ADR-031</t>
        </is>
      </c>
    </row>
    <row r="3">
      <c r="A3" t="inlineStr">
        <is>
          <t>sí</t>
        </is>
      </c>
      <c r="B3" t="inlineStr">
        <is>
          <t>Reemplazar VPC Lattice por ECS Service Connect</t>
        </is>
      </c>
      <c r="C3" s="4">
        <f>SUMIFS(Estimado!G2:G42,Estimado!B2:B42,"VPC Lattice")</f>
        <v/>
      </c>
      <c r="D3" s="6" t="n">
        <v>0.9</v>
      </c>
      <c r="E3" s="4">
        <f>C3*D3</f>
        <v/>
      </c>
      <c r="F3" t="inlineStr">
        <is>
          <t>Se pierde la autorización de IAM entre servicios; la segmentación PCI queda solo en security groups.</t>
        </is>
      </c>
      <c r="G3" t="inlineStr">
        <is>
          <t>ADR-017</t>
        </is>
      </c>
    </row>
    <row r="4">
      <c r="A4" t="inlineStr">
        <is>
          <t>?</t>
        </is>
      </c>
      <c r="B4" t="inlineStr">
        <is>
          <t>Consolidar los 100 ALB en unos 10 compartidos con reglas por host</t>
        </is>
      </c>
      <c r="C4" s="4">
        <f>SUMIFS(Estimado!G2:G42,Estimado!B2:B42,"ALB",Estimado!C2:C42,"Horas")</f>
        <v/>
      </c>
      <c r="D4" s="6" t="n">
        <v>0.9</v>
      </c>
      <c r="E4" s="4">
        <f>C4*D4</f>
        <v/>
      </c>
      <c r="F4" t="inlineStr">
        <is>
          <t>Un error de configuración o un pico en un ALB compartido afecta a varios servicios.</t>
        </is>
      </c>
      <c r="G4" t="inlineStr">
        <is>
          <t>ADR-018</t>
        </is>
      </c>
    </row>
    <row r="5">
      <c r="A5" t="inlineStr">
        <is>
          <t>?</t>
        </is>
      </c>
      <c r="B5" t="inlineStr">
        <is>
          <t>Fargate Spot para el 30 % de los servicios</t>
        </is>
      </c>
      <c r="C5" s="4">
        <f>SUMIFS(Estimado!G2:G42,Estimado!B2:B42,"ECS Fargate (ARM)")</f>
        <v/>
      </c>
      <c r="D5" s="6" t="n">
        <v>0.21</v>
      </c>
      <c r="E5" s="4">
        <f>C5*D5</f>
        <v/>
      </c>
      <c r="F5" t="inlineStr">
        <is>
          <t>Interrupciones de tareas con dos minutos de aviso; solo para servicios tolerantes.</t>
        </is>
      </c>
      <c r="G5" t="inlineStr">
        <is>
          <t>ADR-013</t>
        </is>
      </c>
    </row>
    <row r="6">
      <c r="A6" t="inlineStr">
        <is>
          <t>?</t>
        </is>
      </c>
      <c r="B6" t="inlineStr">
        <is>
          <t>Compute Savings Plan a un año</t>
        </is>
      </c>
      <c r="C6" s="4">
        <f>SUMIFS(Estimado!G2:G42,Estimado!A2:A42,"Cómputo")</f>
        <v/>
      </c>
      <c r="D6" s="6" t="n">
        <v>0.2</v>
      </c>
      <c r="E6" s="4">
        <f>C6*D6</f>
        <v/>
      </c>
      <c r="F6" t="inlineStr">
        <is>
          <t>Compromiso de gasto por un año aunque el uso baje con el rightsizing.</t>
        </is>
      </c>
      <c r="G6" t="inlineStr">
        <is>
          <t>ADR-013</t>
        </is>
      </c>
    </row>
    <row r="8">
      <c r="B8" t="inlineStr">
        <is>
          <t>Ahorro de los recortes elegidos (marcar con 'sí')</t>
        </is>
      </c>
      <c r="E8" s="4">
        <f>SUMIFS(E2:E6,A2:A6,"sí")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2026-10-29T19:01:57Z</dcterms:created>
  <dcterms:modified xmlns:dcterms="http://purl.org/dc/terms/" xmlns:xsi="http://www.w3.org/2001/XMLSchema-instance" xsi:type="dcterms:W3CDTF">2026-10-29T19:02:08Z</dcterms:modified>
</cp:coreProperties>
</file>